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Telegram Desktop\"/>
    </mc:Choice>
  </mc:AlternateContent>
  <xr:revisionPtr revIDLastSave="0" documentId="13_ncr:1_{B5E77265-7925-4BE8-9731-D1412565045B}" xr6:coauthVersionLast="47" xr6:coauthVersionMax="47" xr10:uidLastSave="{00000000-0000-0000-0000-000000000000}"/>
  <bookViews>
    <workbookView xWindow="-120" yWindow="-120" windowWidth="20730" windowHeight="11160" firstSheet="3" activeTab="5" xr2:uid="{00000000-000D-0000-FFFF-FFFF00000000}"/>
  </bookViews>
  <sheets>
    <sheet name=" Model&gt;" sheetId="19" r:id="rId1"/>
    <sheet name="3 Statement Model" sheetId="27" r:id="rId2"/>
    <sheet name="Relative Valuation" sheetId="28" r:id="rId3"/>
    <sheet name="DCF Valuation Model" sheetId="29" r:id="rId4"/>
    <sheet name="WACC" sheetId="16" r:id="rId5"/>
    <sheet name="Football Field Anaylsis" sheetId="30" r:id="rId6"/>
    <sheet name="Financials&gt;" sheetId="22" r:id="rId7"/>
    <sheet name="Common Size Statement" sheetId="13" r:id="rId8"/>
    <sheet name="Ratio analysis" sheetId="11" r:id="rId9"/>
    <sheet name="Data Room&gt;" sheetId="15" r:id="rId10"/>
    <sheet name="Historical FS" sheetId="7" r:id="rId11"/>
    <sheet name="Data Sheet" sheetId="6" r:id="rId12"/>
  </sheets>
  <definedNames>
    <definedName name="_xlnm.Print_Area" localSheetId="2">'Relative Valuation'!$A$1:$O$30</definedName>
    <definedName name="UPDATE">'Data Sheet'!$E$1</definedName>
  </definedNames>
  <calcPr calcId="191028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7" i="30" l="1"/>
  <c r="O7" i="30"/>
  <c r="L7" i="30"/>
  <c r="M7" i="30"/>
  <c r="N9" i="30"/>
  <c r="O9" i="30"/>
  <c r="L9" i="30"/>
  <c r="M9" i="30"/>
  <c r="N8" i="30"/>
  <c r="O8" i="30"/>
  <c r="L8" i="30"/>
  <c r="M8" i="30"/>
  <c r="N6" i="30"/>
  <c r="O6" i="30"/>
  <c r="L6" i="30"/>
  <c r="M6" i="30"/>
  <c r="E39" i="29"/>
  <c r="E37" i="29"/>
  <c r="E36" i="29"/>
  <c r="D26" i="29"/>
  <c r="H28" i="16"/>
  <c r="H27" i="16"/>
  <c r="H26" i="16"/>
  <c r="I15" i="16"/>
  <c r="I14" i="16"/>
  <c r="J10" i="28"/>
  <c r="J9" i="28"/>
  <c r="J8" i="28"/>
  <c r="J7" i="28"/>
  <c r="J6" i="28"/>
  <c r="J5" i="28"/>
  <c r="J4" i="28"/>
  <c r="N10" i="28"/>
  <c r="N9" i="28"/>
  <c r="N8" i="28"/>
  <c r="N7" i="28"/>
  <c r="N6" i="28"/>
  <c r="N5" i="28"/>
  <c r="L10" i="28"/>
  <c r="L9" i="28"/>
  <c r="L8" i="28"/>
  <c r="L7" i="28"/>
  <c r="L6" i="28"/>
  <c r="L5" i="28"/>
  <c r="H10" i="28"/>
  <c r="H9" i="28"/>
  <c r="H8" i="28"/>
  <c r="H7" i="28"/>
  <c r="H6" i="28"/>
  <c r="H5" i="28"/>
  <c r="H4" i="28"/>
  <c r="F10" i="28"/>
  <c r="F9" i="28"/>
  <c r="F8" i="28"/>
  <c r="F7" i="28"/>
  <c r="F6" i="28"/>
  <c r="F5" i="28"/>
  <c r="F4" i="28"/>
  <c r="E19" i="16"/>
  <c r="K18" i="29"/>
  <c r="J18" i="29"/>
  <c r="I18" i="29"/>
  <c r="H18" i="29"/>
  <c r="G18" i="29"/>
  <c r="K17" i="29"/>
  <c r="J17" i="29"/>
  <c r="I17" i="29"/>
  <c r="H17" i="29"/>
  <c r="G17" i="29"/>
  <c r="K16" i="29"/>
  <c r="J16" i="29"/>
  <c r="I16" i="29"/>
  <c r="H16" i="29"/>
  <c r="G16" i="29"/>
  <c r="K15" i="29"/>
  <c r="K19" i="29" s="1"/>
  <c r="J15" i="29"/>
  <c r="J19" i="29" s="1"/>
  <c r="I15" i="29"/>
  <c r="I19" i="29" s="1"/>
  <c r="H15" i="29"/>
  <c r="H19" i="29" s="1"/>
  <c r="G15" i="29"/>
  <c r="G19" i="29" s="1"/>
  <c r="F19" i="29"/>
  <c r="F18" i="29"/>
  <c r="F17" i="29"/>
  <c r="F16" i="29"/>
  <c r="F15" i="29"/>
  <c r="K14" i="29"/>
  <c r="J14" i="29"/>
  <c r="I14" i="29"/>
  <c r="H14" i="29"/>
  <c r="G14" i="29"/>
  <c r="F14" i="29"/>
  <c r="G13" i="29"/>
  <c r="H13" i="29"/>
  <c r="I13" i="29"/>
  <c r="J13" i="29"/>
  <c r="K13" i="29"/>
  <c r="F13" i="29"/>
  <c r="K12" i="29"/>
  <c r="J12" i="29"/>
  <c r="I12" i="29"/>
  <c r="H12" i="29"/>
  <c r="G12" i="29"/>
  <c r="F12" i="29"/>
  <c r="K8" i="29"/>
  <c r="J8" i="29"/>
  <c r="I8" i="29"/>
  <c r="H8" i="29"/>
  <c r="G8" i="29"/>
  <c r="F8" i="29"/>
  <c r="G11" i="29"/>
  <c r="H11" i="29"/>
  <c r="I11" i="29"/>
  <c r="J11" i="29"/>
  <c r="K11" i="29"/>
  <c r="F11" i="29"/>
  <c r="G9" i="29"/>
  <c r="H9" i="29"/>
  <c r="I9" i="29"/>
  <c r="J9" i="29"/>
  <c r="K9" i="29"/>
  <c r="F9" i="29"/>
  <c r="G7" i="29"/>
  <c r="H7" i="29"/>
  <c r="I7" i="29"/>
  <c r="J7" i="29"/>
  <c r="K7" i="29"/>
  <c r="F7" i="29"/>
  <c r="K6" i="29"/>
  <c r="J6" i="29"/>
  <c r="I6" i="29"/>
  <c r="H6" i="29"/>
  <c r="G6" i="29"/>
  <c r="F6" i="29"/>
  <c r="K5" i="29"/>
  <c r="J5" i="29"/>
  <c r="I5" i="29"/>
  <c r="H5" i="29"/>
  <c r="G5" i="29"/>
  <c r="F5" i="29"/>
  <c r="K4" i="29"/>
  <c r="J4" i="29"/>
  <c r="I4" i="29"/>
  <c r="H4" i="29"/>
  <c r="G4" i="29"/>
  <c r="F4" i="29"/>
  <c r="K3" i="29"/>
  <c r="J3" i="29"/>
  <c r="I3" i="29"/>
  <c r="H3" i="29"/>
  <c r="G3" i="29"/>
  <c r="F3" i="29"/>
  <c r="L44" i="27"/>
  <c r="K44" i="27"/>
  <c r="J44" i="27"/>
  <c r="I44" i="27"/>
  <c r="L55" i="27"/>
  <c r="K55" i="27"/>
  <c r="J55" i="27"/>
  <c r="I55" i="27"/>
  <c r="H55" i="27"/>
  <c r="H44" i="27"/>
  <c r="E30" i="29"/>
  <c r="E29" i="29"/>
  <c r="K21" i="29"/>
  <c r="J21" i="29"/>
  <c r="I21" i="29"/>
  <c r="H21" i="29"/>
  <c r="G21" i="29"/>
  <c r="G6" i="7"/>
  <c r="G52" i="7"/>
  <c r="G29" i="11"/>
  <c r="F6" i="7"/>
  <c r="F52" i="7"/>
  <c r="F29" i="11"/>
  <c r="E6" i="7"/>
  <c r="E52" i="7"/>
  <c r="E29" i="11"/>
  <c r="D6" i="7"/>
  <c r="D52" i="7"/>
  <c r="D29" i="11"/>
  <c r="C6" i="7"/>
  <c r="C52" i="7"/>
  <c r="C29" i="11"/>
  <c r="G41" i="7"/>
  <c r="G28" i="11"/>
  <c r="F41" i="7"/>
  <c r="F28" i="11"/>
  <c r="E41" i="7"/>
  <c r="E28" i="11"/>
  <c r="D41" i="7"/>
  <c r="D28" i="11"/>
  <c r="C41" i="7"/>
  <c r="C28" i="11"/>
  <c r="L6" i="7"/>
  <c r="L41" i="7"/>
  <c r="L28" i="11"/>
  <c r="K6" i="7"/>
  <c r="K41" i="7"/>
  <c r="K28" i="11"/>
  <c r="K34" i="11"/>
  <c r="J6" i="7"/>
  <c r="J41" i="7"/>
  <c r="J28" i="11"/>
  <c r="I6" i="7"/>
  <c r="I41" i="7"/>
  <c r="I28" i="11"/>
  <c r="H6" i="7"/>
  <c r="H41" i="7"/>
  <c r="H28" i="11"/>
  <c r="L34" i="11"/>
  <c r="J34" i="11"/>
  <c r="I34" i="11"/>
  <c r="H34" i="11"/>
  <c r="G15" i="27"/>
  <c r="F15" i="27"/>
  <c r="E15" i="27"/>
  <c r="D15" i="27"/>
  <c r="C15" i="27"/>
  <c r="G16" i="27"/>
  <c r="F16" i="27"/>
  <c r="E16" i="27"/>
  <c r="D16" i="27"/>
  <c r="C16" i="27"/>
  <c r="G14" i="27"/>
  <c r="G122" i="27"/>
  <c r="F122" i="27"/>
  <c r="E122" i="27"/>
  <c r="D122" i="27"/>
  <c r="G121" i="27"/>
  <c r="F121" i="27"/>
  <c r="E121" i="27"/>
  <c r="D121" i="27"/>
  <c r="G120" i="27"/>
  <c r="F120" i="27"/>
  <c r="E120" i="27"/>
  <c r="D120" i="27"/>
  <c r="C122" i="27"/>
  <c r="C121" i="27"/>
  <c r="C120" i="27"/>
  <c r="G29" i="27"/>
  <c r="G117" i="27" s="1"/>
  <c r="H27" i="27"/>
  <c r="H116" i="27" s="1"/>
  <c r="G116" i="27"/>
  <c r="F116" i="27"/>
  <c r="E116" i="27"/>
  <c r="D116" i="27"/>
  <c r="C116" i="27"/>
  <c r="I66" i="7"/>
  <c r="H80" i="27"/>
  <c r="H51" i="27"/>
  <c r="I51" i="27" s="1"/>
  <c r="G10" i="27"/>
  <c r="F10" i="27"/>
  <c r="E10" i="27"/>
  <c r="D10" i="27"/>
  <c r="C10" i="27"/>
  <c r="G79" i="27"/>
  <c r="F79" i="27"/>
  <c r="E79" i="27"/>
  <c r="D79" i="27"/>
  <c r="C79" i="27"/>
  <c r="H50" i="27"/>
  <c r="I50" i="27" s="1"/>
  <c r="L112" i="27"/>
  <c r="K112" i="27"/>
  <c r="J112" i="27"/>
  <c r="I112" i="27"/>
  <c r="H112" i="27"/>
  <c r="G111" i="27"/>
  <c r="H108" i="27" s="1"/>
  <c r="F111" i="27"/>
  <c r="G108" i="27"/>
  <c r="E111" i="27"/>
  <c r="F108" i="27" s="1"/>
  <c r="F110" i="27" s="1"/>
  <c r="D111" i="27"/>
  <c r="E108" i="27" s="1"/>
  <c r="E110" i="27" s="1"/>
  <c r="C111" i="27"/>
  <c r="D108" i="27" s="1"/>
  <c r="G89" i="27"/>
  <c r="F89" i="27"/>
  <c r="E89" i="27"/>
  <c r="D89" i="27"/>
  <c r="G88" i="27"/>
  <c r="G90" i="27" s="1"/>
  <c r="F88" i="27"/>
  <c r="E88" i="27"/>
  <c r="E90" i="27" s="1"/>
  <c r="D88" i="27"/>
  <c r="G87" i="27"/>
  <c r="F87" i="27"/>
  <c r="E87" i="27"/>
  <c r="D87" i="27"/>
  <c r="D90" i="27"/>
  <c r="C89" i="27"/>
  <c r="C88" i="27"/>
  <c r="C87" i="27"/>
  <c r="L42" i="27"/>
  <c r="K42" i="27"/>
  <c r="J42" i="27"/>
  <c r="I42" i="27"/>
  <c r="H42" i="27"/>
  <c r="G22" i="27"/>
  <c r="F22" i="27"/>
  <c r="E22" i="27"/>
  <c r="D22" i="27"/>
  <c r="C22" i="27"/>
  <c r="H45" i="27"/>
  <c r="I45" i="27" s="1"/>
  <c r="J45" i="27" s="1"/>
  <c r="G21" i="27"/>
  <c r="F21" i="27"/>
  <c r="E21" i="27"/>
  <c r="G20" i="27"/>
  <c r="F20" i="27"/>
  <c r="E20" i="27"/>
  <c r="D20" i="27"/>
  <c r="G19" i="27"/>
  <c r="F19" i="27"/>
  <c r="E19" i="27"/>
  <c r="D19" i="27"/>
  <c r="D21" i="27"/>
  <c r="C20" i="27"/>
  <c r="C19" i="27"/>
  <c r="L49" i="27"/>
  <c r="K49" i="27"/>
  <c r="K73" i="27" s="1"/>
  <c r="J49" i="27"/>
  <c r="I49" i="27"/>
  <c r="I73" i="27" s="1"/>
  <c r="H49" i="27"/>
  <c r="H73" i="27" s="1"/>
  <c r="G18" i="27"/>
  <c r="F18" i="27"/>
  <c r="E18" i="27"/>
  <c r="D18" i="27"/>
  <c r="C18" i="27"/>
  <c r="G12" i="27"/>
  <c r="F12" i="27"/>
  <c r="E12" i="27"/>
  <c r="D12" i="27"/>
  <c r="C12" i="27"/>
  <c r="G11" i="27"/>
  <c r="F11" i="27"/>
  <c r="E11" i="27"/>
  <c r="D11" i="27"/>
  <c r="C11" i="27"/>
  <c r="G98" i="27"/>
  <c r="H95" i="27" s="1"/>
  <c r="H97" i="27" s="1"/>
  <c r="H34" i="27" s="1"/>
  <c r="H66" i="27" s="1"/>
  <c r="F98" i="27"/>
  <c r="G95" i="27"/>
  <c r="E98" i="27"/>
  <c r="F95" i="27"/>
  <c r="F96" i="27" s="1"/>
  <c r="F17" i="27" s="1"/>
  <c r="G97" i="27"/>
  <c r="F97" i="27"/>
  <c r="E97" i="27"/>
  <c r="D98" i="27"/>
  <c r="E95" i="27" s="1"/>
  <c r="E96" i="27" s="1"/>
  <c r="E17" i="27" s="1"/>
  <c r="D97" i="27"/>
  <c r="C97" i="27"/>
  <c r="C98" i="27"/>
  <c r="C96" i="27" s="1"/>
  <c r="C17" i="27" s="1"/>
  <c r="L105" i="27"/>
  <c r="K105" i="27"/>
  <c r="J105" i="27"/>
  <c r="I105" i="27"/>
  <c r="H105" i="27"/>
  <c r="G104" i="27"/>
  <c r="F104" i="27"/>
  <c r="E104" i="27"/>
  <c r="G103" i="27"/>
  <c r="H101" i="27" s="1"/>
  <c r="H104" i="27" s="1"/>
  <c r="H35" i="27" s="1"/>
  <c r="F103" i="27"/>
  <c r="G101" i="27" s="1"/>
  <c r="E103" i="27"/>
  <c r="F101" i="27" s="1"/>
  <c r="F105" i="27" s="1"/>
  <c r="D104" i="27"/>
  <c r="D103" i="27"/>
  <c r="C103" i="27"/>
  <c r="D101" i="27" s="1"/>
  <c r="D102" i="27" s="1"/>
  <c r="C104" i="27"/>
  <c r="C105" i="27" s="1"/>
  <c r="F14" i="27"/>
  <c r="E14" i="27"/>
  <c r="D14" i="27"/>
  <c r="C14" i="27"/>
  <c r="G9" i="27"/>
  <c r="F9" i="27"/>
  <c r="E9" i="27"/>
  <c r="D9" i="27"/>
  <c r="C9" i="27"/>
  <c r="G8" i="27"/>
  <c r="F8" i="27"/>
  <c r="E8" i="27"/>
  <c r="D8" i="27"/>
  <c r="C8" i="27"/>
  <c r="G7" i="27"/>
  <c r="F7" i="27"/>
  <c r="E7" i="27"/>
  <c r="D7" i="27"/>
  <c r="L4" i="28"/>
  <c r="L14" i="28"/>
  <c r="L15" i="28"/>
  <c r="L20" i="28" s="1"/>
  <c r="L22" i="28" s="1"/>
  <c r="M15" i="28"/>
  <c r="M20" i="28" s="1"/>
  <c r="M21" i="28"/>
  <c r="M23" i="28"/>
  <c r="N4" i="28"/>
  <c r="N23" i="28"/>
  <c r="L21" i="28"/>
  <c r="L23" i="28"/>
  <c r="N21" i="28"/>
  <c r="M17" i="28"/>
  <c r="M16" i="28"/>
  <c r="M14" i="28"/>
  <c r="M13" i="28"/>
  <c r="M12" i="28"/>
  <c r="H62" i="7"/>
  <c r="G57" i="27"/>
  <c r="G59" i="27" s="1"/>
  <c r="G4" i="27" s="1"/>
  <c r="F57" i="27"/>
  <c r="E57" i="27"/>
  <c r="D57" i="27"/>
  <c r="C57" i="27"/>
  <c r="G52" i="27"/>
  <c r="F52" i="27"/>
  <c r="E52" i="27"/>
  <c r="E59" i="27" s="1"/>
  <c r="E4" i="27" s="1"/>
  <c r="D52" i="27"/>
  <c r="C52" i="27"/>
  <c r="G46" i="27"/>
  <c r="F46" i="27"/>
  <c r="E46" i="27"/>
  <c r="D46" i="27"/>
  <c r="C46" i="27"/>
  <c r="G31" i="27"/>
  <c r="G36" i="27" s="1"/>
  <c r="F29" i="27"/>
  <c r="F31" i="27" s="1"/>
  <c r="F36" i="27" s="1"/>
  <c r="E29" i="27"/>
  <c r="E31" i="27" s="1"/>
  <c r="E36" i="27" s="1"/>
  <c r="D29" i="27"/>
  <c r="D31" i="27" s="1"/>
  <c r="D36" i="27" s="1"/>
  <c r="C29" i="27"/>
  <c r="C31" i="27" s="1"/>
  <c r="C36" i="27" s="1"/>
  <c r="L3" i="7"/>
  <c r="G3" i="27"/>
  <c r="H3" i="27"/>
  <c r="I3" i="27"/>
  <c r="J3" i="27"/>
  <c r="K3" i="27"/>
  <c r="L3" i="27"/>
  <c r="K3" i="7"/>
  <c r="F3" i="27"/>
  <c r="J3" i="7"/>
  <c r="E3" i="27"/>
  <c r="I3" i="7"/>
  <c r="D3" i="27"/>
  <c r="H3" i="7"/>
  <c r="C3" i="27"/>
  <c r="C3" i="7"/>
  <c r="D3" i="7"/>
  <c r="E3" i="7"/>
  <c r="F3" i="7"/>
  <c r="G3" i="7"/>
  <c r="E117" i="27"/>
  <c r="F117" i="27"/>
  <c r="H76" i="27"/>
  <c r="C90" i="27"/>
  <c r="E101" i="27"/>
  <c r="F59" i="27"/>
  <c r="F4" i="27" s="1"/>
  <c r="C59" i="27"/>
  <c r="C4" i="27" s="1"/>
  <c r="L7" i="7"/>
  <c r="K7" i="7"/>
  <c r="J7" i="7"/>
  <c r="I7" i="7"/>
  <c r="H7" i="7"/>
  <c r="G7" i="7"/>
  <c r="F7" i="7"/>
  <c r="E7" i="7"/>
  <c r="D7" i="7"/>
  <c r="B6" i="6"/>
  <c r="L8" i="7"/>
  <c r="L10" i="7"/>
  <c r="L12" i="7"/>
  <c r="L14" i="7"/>
  <c r="L16" i="7"/>
  <c r="L18" i="7"/>
  <c r="L20" i="7"/>
  <c r="L22" i="7"/>
  <c r="K8" i="7"/>
  <c r="K10" i="7"/>
  <c r="K12" i="7"/>
  <c r="K14" i="7"/>
  <c r="K16" i="7"/>
  <c r="K18" i="7"/>
  <c r="K20" i="7"/>
  <c r="K22" i="7"/>
  <c r="J8" i="7"/>
  <c r="J10" i="7"/>
  <c r="J12" i="7"/>
  <c r="J14" i="7"/>
  <c r="J16" i="7"/>
  <c r="J18" i="7"/>
  <c r="J20" i="7"/>
  <c r="J22" i="7"/>
  <c r="I8" i="7"/>
  <c r="I10" i="7"/>
  <c r="I12" i="7"/>
  <c r="I14" i="7"/>
  <c r="I16" i="7"/>
  <c r="I18" i="7"/>
  <c r="I20" i="7"/>
  <c r="I22" i="7"/>
  <c r="H8" i="7"/>
  <c r="H10" i="7"/>
  <c r="H12" i="7"/>
  <c r="H14" i="7"/>
  <c r="H16" i="7"/>
  <c r="H18" i="7"/>
  <c r="H20" i="7"/>
  <c r="H22" i="7"/>
  <c r="L4" i="13"/>
  <c r="K4" i="13"/>
  <c r="J4" i="13"/>
  <c r="I4" i="13"/>
  <c r="H4" i="13"/>
  <c r="E27" i="16"/>
  <c r="F15" i="16"/>
  <c r="F14" i="16"/>
  <c r="G13" i="16"/>
  <c r="H13" i="16"/>
  <c r="G11" i="16"/>
  <c r="H12" i="16"/>
  <c r="H10" i="16"/>
  <c r="L62" i="7"/>
  <c r="L40" i="11"/>
  <c r="K62" i="7"/>
  <c r="K40" i="11"/>
  <c r="J62" i="7"/>
  <c r="J40" i="11"/>
  <c r="I62" i="7"/>
  <c r="I40" i="11"/>
  <c r="H40" i="11"/>
  <c r="G62" i="7"/>
  <c r="G40" i="11"/>
  <c r="F62" i="7"/>
  <c r="F40" i="11"/>
  <c r="E62" i="7"/>
  <c r="E40" i="11"/>
  <c r="D62" i="7"/>
  <c r="D40" i="11"/>
  <c r="C62" i="7"/>
  <c r="C40" i="11"/>
  <c r="L45" i="7"/>
  <c r="L46" i="7"/>
  <c r="L47" i="7"/>
  <c r="L48" i="7"/>
  <c r="L49" i="7"/>
  <c r="L51" i="7"/>
  <c r="L52" i="7"/>
  <c r="L53" i="7"/>
  <c r="L54" i="7"/>
  <c r="L56" i="7"/>
  <c r="L39" i="11"/>
  <c r="K45" i="7"/>
  <c r="K46" i="7"/>
  <c r="K47" i="7"/>
  <c r="K48" i="7"/>
  <c r="K49" i="7"/>
  <c r="K51" i="7"/>
  <c r="K52" i="7"/>
  <c r="K53" i="7"/>
  <c r="K54" i="7"/>
  <c r="K56" i="7"/>
  <c r="K39" i="11"/>
  <c r="J45" i="7"/>
  <c r="J46" i="7"/>
  <c r="J47" i="7"/>
  <c r="J48" i="7"/>
  <c r="J49" i="7"/>
  <c r="J51" i="7"/>
  <c r="J52" i="7"/>
  <c r="J53" i="7"/>
  <c r="J54" i="7"/>
  <c r="J56" i="7"/>
  <c r="J39" i="11"/>
  <c r="I45" i="7"/>
  <c r="I46" i="7"/>
  <c r="I47" i="7"/>
  <c r="I48" i="7"/>
  <c r="I49" i="7"/>
  <c r="I51" i="7"/>
  <c r="I52" i="7"/>
  <c r="I53" i="7"/>
  <c r="I54" i="7"/>
  <c r="I56" i="7"/>
  <c r="I39" i="11"/>
  <c r="H45" i="7"/>
  <c r="H46" i="7"/>
  <c r="H47" i="7"/>
  <c r="H48" i="7"/>
  <c r="H49" i="7"/>
  <c r="H51" i="7"/>
  <c r="H52" i="7"/>
  <c r="H53" i="7"/>
  <c r="H54" i="7"/>
  <c r="H56" i="7"/>
  <c r="H39" i="11"/>
  <c r="G45" i="7"/>
  <c r="G46" i="7"/>
  <c r="G47" i="7"/>
  <c r="G48" i="7"/>
  <c r="G49" i="7"/>
  <c r="G51" i="7"/>
  <c r="G53" i="7"/>
  <c r="G54" i="7"/>
  <c r="G56" i="7"/>
  <c r="G39" i="11"/>
  <c r="F45" i="7"/>
  <c r="F46" i="7"/>
  <c r="F47" i="7"/>
  <c r="F48" i="7"/>
  <c r="F49" i="7"/>
  <c r="F51" i="7"/>
  <c r="F53" i="7"/>
  <c r="F54" i="7"/>
  <c r="F56" i="7"/>
  <c r="F39" i="11"/>
  <c r="E45" i="7"/>
  <c r="E46" i="7"/>
  <c r="E47" i="7"/>
  <c r="E48" i="7"/>
  <c r="E49" i="7"/>
  <c r="E51" i="7"/>
  <c r="E53" i="7"/>
  <c r="E54" i="7"/>
  <c r="E56" i="7"/>
  <c r="E39" i="11"/>
  <c r="D45" i="7"/>
  <c r="D46" i="7"/>
  <c r="D47" i="7"/>
  <c r="D48" i="7"/>
  <c r="D49" i="7"/>
  <c r="D51" i="7"/>
  <c r="D53" i="7"/>
  <c r="D54" i="7"/>
  <c r="D56" i="7"/>
  <c r="D39" i="11"/>
  <c r="C45" i="7"/>
  <c r="C46" i="7"/>
  <c r="C47" i="7"/>
  <c r="C48" i="7"/>
  <c r="C49" i="7"/>
  <c r="C51" i="7"/>
  <c r="C53" i="7"/>
  <c r="C54" i="7"/>
  <c r="C56" i="7"/>
  <c r="C39" i="11"/>
  <c r="L38" i="11"/>
  <c r="K38" i="11"/>
  <c r="J38" i="11"/>
  <c r="I38" i="11"/>
  <c r="H38" i="11"/>
  <c r="G38" i="11"/>
  <c r="F38" i="11"/>
  <c r="E38" i="11"/>
  <c r="D38" i="11"/>
  <c r="C38" i="11"/>
  <c r="L20" i="13"/>
  <c r="K20" i="13"/>
  <c r="J20" i="13"/>
  <c r="I20" i="13"/>
  <c r="H20" i="13"/>
  <c r="G20" i="13"/>
  <c r="F20" i="13"/>
  <c r="E20" i="13"/>
  <c r="D20" i="13"/>
  <c r="L19" i="13"/>
  <c r="K19" i="13"/>
  <c r="J19" i="13"/>
  <c r="I19" i="13"/>
  <c r="H19" i="13"/>
  <c r="G19" i="13"/>
  <c r="F19" i="13"/>
  <c r="E19" i="13"/>
  <c r="D19" i="13"/>
  <c r="L18" i="13"/>
  <c r="K18" i="13"/>
  <c r="J18" i="13"/>
  <c r="I18" i="13"/>
  <c r="H18" i="13"/>
  <c r="G18" i="13"/>
  <c r="F18" i="13"/>
  <c r="E18" i="13"/>
  <c r="D18" i="13"/>
  <c r="L17" i="13"/>
  <c r="K17" i="13"/>
  <c r="J17" i="13"/>
  <c r="I17" i="13"/>
  <c r="H17" i="13"/>
  <c r="G17" i="13"/>
  <c r="F17" i="13"/>
  <c r="E17" i="13"/>
  <c r="D17" i="13"/>
  <c r="L16" i="13"/>
  <c r="K16" i="13"/>
  <c r="J16" i="13"/>
  <c r="I16" i="13"/>
  <c r="H16" i="13"/>
  <c r="G16" i="13"/>
  <c r="F16" i="13"/>
  <c r="E16" i="13"/>
  <c r="D16" i="13"/>
  <c r="L15" i="13"/>
  <c r="K15" i="13"/>
  <c r="J15" i="13"/>
  <c r="I15" i="13"/>
  <c r="H15" i="13"/>
  <c r="G15" i="13"/>
  <c r="F15" i="13"/>
  <c r="E15" i="13"/>
  <c r="D15" i="13"/>
  <c r="L14" i="13"/>
  <c r="K14" i="13"/>
  <c r="J14" i="13"/>
  <c r="I14" i="13"/>
  <c r="H14" i="13"/>
  <c r="G14" i="13"/>
  <c r="F14" i="13"/>
  <c r="E14" i="13"/>
  <c r="D14" i="13"/>
  <c r="L13" i="13"/>
  <c r="K13" i="13"/>
  <c r="J13" i="13"/>
  <c r="I13" i="13"/>
  <c r="H13" i="13"/>
  <c r="G13" i="13"/>
  <c r="F13" i="13"/>
  <c r="E13" i="13"/>
  <c r="D13" i="13"/>
  <c r="L12" i="13"/>
  <c r="K12" i="13"/>
  <c r="J12" i="13"/>
  <c r="I12" i="13"/>
  <c r="H12" i="13"/>
  <c r="G12" i="13"/>
  <c r="F12" i="13"/>
  <c r="E12" i="13"/>
  <c r="D12" i="13"/>
  <c r="L11" i="13"/>
  <c r="K11" i="13"/>
  <c r="J11" i="13"/>
  <c r="I11" i="13"/>
  <c r="H11" i="13"/>
  <c r="G11" i="13"/>
  <c r="F11" i="13"/>
  <c r="E11" i="13"/>
  <c r="D11" i="13"/>
  <c r="L10" i="13"/>
  <c r="K10" i="13"/>
  <c r="J10" i="13"/>
  <c r="I10" i="13"/>
  <c r="H10" i="13"/>
  <c r="G10" i="13"/>
  <c r="F10" i="13"/>
  <c r="E10" i="13"/>
  <c r="D10" i="13"/>
  <c r="L9" i="13"/>
  <c r="K9" i="13"/>
  <c r="J9" i="13"/>
  <c r="I9" i="13"/>
  <c r="H9" i="13"/>
  <c r="G9" i="13"/>
  <c r="F9" i="13"/>
  <c r="E9" i="13"/>
  <c r="D9" i="13"/>
  <c r="L8" i="13"/>
  <c r="K8" i="13"/>
  <c r="J8" i="13"/>
  <c r="I8" i="13"/>
  <c r="H8" i="13"/>
  <c r="G8" i="13"/>
  <c r="F8" i="13"/>
  <c r="E8" i="13"/>
  <c r="D8" i="13"/>
  <c r="L7" i="13"/>
  <c r="K7" i="13"/>
  <c r="J7" i="13"/>
  <c r="I7" i="13"/>
  <c r="H7" i="13"/>
  <c r="G7" i="13"/>
  <c r="F7" i="13"/>
  <c r="E7" i="13"/>
  <c r="D7" i="13"/>
  <c r="L6" i="13"/>
  <c r="K6" i="13"/>
  <c r="J6" i="13"/>
  <c r="I6" i="13"/>
  <c r="H6" i="13"/>
  <c r="G6" i="13"/>
  <c r="F6" i="13"/>
  <c r="E6" i="13"/>
  <c r="D6" i="13"/>
  <c r="G8" i="7"/>
  <c r="G10" i="7"/>
  <c r="G12" i="7"/>
  <c r="G14" i="7"/>
  <c r="G16" i="7"/>
  <c r="G18" i="7"/>
  <c r="G20" i="7"/>
  <c r="G22" i="7"/>
  <c r="F8" i="7"/>
  <c r="F10" i="7"/>
  <c r="F12" i="7"/>
  <c r="F14" i="7"/>
  <c r="F16" i="7"/>
  <c r="F18" i="7"/>
  <c r="F20" i="7"/>
  <c r="F22" i="7"/>
  <c r="E8" i="7"/>
  <c r="E10" i="7"/>
  <c r="E12" i="7"/>
  <c r="E14" i="7"/>
  <c r="E16" i="7"/>
  <c r="E18" i="7"/>
  <c r="E20" i="7"/>
  <c r="E22" i="7"/>
  <c r="D8" i="7"/>
  <c r="D10" i="7"/>
  <c r="D12" i="7"/>
  <c r="D14" i="7"/>
  <c r="D16" i="7"/>
  <c r="D18" i="7"/>
  <c r="D20" i="7"/>
  <c r="D22" i="7"/>
  <c r="C8" i="7"/>
  <c r="C10" i="7"/>
  <c r="C12" i="7"/>
  <c r="C14" i="7"/>
  <c r="C16" i="7"/>
  <c r="C18" i="7"/>
  <c r="C20" i="7"/>
  <c r="C22" i="7"/>
  <c r="L17" i="7"/>
  <c r="K17" i="7"/>
  <c r="J17" i="7"/>
  <c r="I17" i="7"/>
  <c r="H17" i="7"/>
  <c r="G17" i="7"/>
  <c r="F17" i="7"/>
  <c r="E17" i="7"/>
  <c r="D17" i="7"/>
  <c r="C17" i="7"/>
  <c r="E21" i="16"/>
  <c r="I32" i="16" s="1"/>
  <c r="I28" i="16"/>
  <c r="J28" i="16" s="1"/>
  <c r="H11" i="16"/>
  <c r="L66" i="7"/>
  <c r="K66" i="7"/>
  <c r="J66" i="7"/>
  <c r="H66" i="7"/>
  <c r="G66" i="7"/>
  <c r="F66" i="7"/>
  <c r="E66" i="7"/>
  <c r="D66" i="7"/>
  <c r="C66" i="7"/>
  <c r="L64" i="7"/>
  <c r="K64" i="7"/>
  <c r="J64" i="7"/>
  <c r="I64" i="7"/>
  <c r="H64" i="7"/>
  <c r="G64" i="7"/>
  <c r="F64" i="7"/>
  <c r="E64" i="7"/>
  <c r="D64" i="7"/>
  <c r="C64" i="7"/>
  <c r="L63" i="7"/>
  <c r="K63" i="7"/>
  <c r="J63" i="7"/>
  <c r="I63" i="7"/>
  <c r="H63" i="7"/>
  <c r="G63" i="7"/>
  <c r="F63" i="7"/>
  <c r="E63" i="7"/>
  <c r="D63" i="7"/>
  <c r="C63" i="7"/>
  <c r="L25" i="13"/>
  <c r="K25" i="13"/>
  <c r="J25" i="13"/>
  <c r="I25" i="13"/>
  <c r="H25" i="13"/>
  <c r="G25" i="13"/>
  <c r="F25" i="13"/>
  <c r="E25" i="13"/>
  <c r="D25" i="13"/>
  <c r="C25" i="13"/>
  <c r="B23" i="13"/>
  <c r="B2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G4" i="13"/>
  <c r="F4" i="13"/>
  <c r="E4" i="13"/>
  <c r="D4" i="13"/>
  <c r="C4" i="13"/>
  <c r="B2" i="11"/>
  <c r="L3" i="11"/>
  <c r="K3" i="11"/>
  <c r="J3" i="11"/>
  <c r="I3" i="11"/>
  <c r="H3" i="11"/>
  <c r="G3" i="11"/>
  <c r="F3" i="11"/>
  <c r="E3" i="11"/>
  <c r="D3" i="11"/>
  <c r="C3" i="11"/>
  <c r="L43" i="7"/>
  <c r="L31" i="13"/>
  <c r="K43" i="7"/>
  <c r="K31" i="13"/>
  <c r="J43" i="7"/>
  <c r="J31" i="13"/>
  <c r="I43" i="7"/>
  <c r="I31" i="13"/>
  <c r="H43" i="7"/>
  <c r="H31" i="13"/>
  <c r="G43" i="7"/>
  <c r="G31" i="13"/>
  <c r="F43" i="7"/>
  <c r="F31" i="13"/>
  <c r="E43" i="7"/>
  <c r="E31" i="13"/>
  <c r="D43" i="7"/>
  <c r="D31" i="13"/>
  <c r="C43" i="7"/>
  <c r="C31" i="13"/>
  <c r="L42" i="7"/>
  <c r="L30" i="13"/>
  <c r="K42" i="7"/>
  <c r="K30" i="13"/>
  <c r="J42" i="7"/>
  <c r="I42" i="7"/>
  <c r="H42" i="7"/>
  <c r="H30" i="13"/>
  <c r="G42" i="7"/>
  <c r="G30" i="13"/>
  <c r="F42" i="7"/>
  <c r="E42" i="7"/>
  <c r="D42" i="7"/>
  <c r="D30" i="13"/>
  <c r="C42" i="7"/>
  <c r="C30" i="13"/>
  <c r="L29" i="13"/>
  <c r="K29" i="13"/>
  <c r="J29" i="13"/>
  <c r="I29" i="13"/>
  <c r="H29" i="13"/>
  <c r="G29" i="13"/>
  <c r="F29" i="13"/>
  <c r="E29" i="13"/>
  <c r="D29" i="13"/>
  <c r="C29" i="13"/>
  <c r="L40" i="7"/>
  <c r="L28" i="13"/>
  <c r="K40" i="7"/>
  <c r="K28" i="13"/>
  <c r="J40" i="7"/>
  <c r="I40" i="7"/>
  <c r="H40" i="7"/>
  <c r="H28" i="13"/>
  <c r="G40" i="7"/>
  <c r="G28" i="13"/>
  <c r="F40" i="7"/>
  <c r="E40" i="7"/>
  <c r="D40" i="7"/>
  <c r="D28" i="13"/>
  <c r="C40" i="7"/>
  <c r="C28" i="13"/>
  <c r="L39" i="7"/>
  <c r="L27" i="13"/>
  <c r="K39" i="7"/>
  <c r="K27" i="13"/>
  <c r="J39" i="7"/>
  <c r="J27" i="13"/>
  <c r="I39" i="7"/>
  <c r="I27" i="13"/>
  <c r="H39" i="7"/>
  <c r="H27" i="13"/>
  <c r="G39" i="7"/>
  <c r="G27" i="13"/>
  <c r="F39" i="7"/>
  <c r="F27" i="13"/>
  <c r="E39" i="7"/>
  <c r="E27" i="13"/>
  <c r="D39" i="7"/>
  <c r="D27" i="13"/>
  <c r="C39" i="7"/>
  <c r="C27" i="13"/>
  <c r="D29" i="7"/>
  <c r="D33" i="7"/>
  <c r="L29" i="7"/>
  <c r="L33" i="7"/>
  <c r="K29" i="7"/>
  <c r="K33" i="7"/>
  <c r="J29" i="7"/>
  <c r="J33" i="7"/>
  <c r="I29" i="7"/>
  <c r="I33" i="7"/>
  <c r="J9" i="11"/>
  <c r="H29" i="7"/>
  <c r="H33" i="7"/>
  <c r="I9" i="11"/>
  <c r="G29" i="7"/>
  <c r="G33" i="7"/>
  <c r="F29" i="7"/>
  <c r="F33" i="7"/>
  <c r="E29" i="7"/>
  <c r="E33" i="7"/>
  <c r="C29" i="7"/>
  <c r="C33" i="7"/>
  <c r="L24" i="7"/>
  <c r="K24" i="7"/>
  <c r="J24" i="7"/>
  <c r="I24" i="7"/>
  <c r="H24" i="7"/>
  <c r="G24" i="7"/>
  <c r="F24" i="7"/>
  <c r="E24" i="7"/>
  <c r="D24" i="7"/>
  <c r="C24" i="7"/>
  <c r="F21" i="7"/>
  <c r="K13" i="7"/>
  <c r="C13" i="7"/>
  <c r="K13" i="11"/>
  <c r="K19" i="11"/>
  <c r="J11" i="7"/>
  <c r="J11" i="11"/>
  <c r="G25" i="11"/>
  <c r="B2" i="7"/>
  <c r="E1" i="6"/>
  <c r="L13" i="11"/>
  <c r="L19" i="11"/>
  <c r="C21" i="7"/>
  <c r="G21" i="7"/>
  <c r="K21" i="7"/>
  <c r="K9" i="7"/>
  <c r="F13" i="7"/>
  <c r="J13" i="7"/>
  <c r="F19" i="7"/>
  <c r="F18" i="11"/>
  <c r="J19" i="7"/>
  <c r="J18" i="11"/>
  <c r="F9" i="7"/>
  <c r="G9" i="7"/>
  <c r="G13" i="7"/>
  <c r="C19" i="7"/>
  <c r="C18" i="11"/>
  <c r="G19" i="7"/>
  <c r="G18" i="11"/>
  <c r="K19" i="7"/>
  <c r="K18" i="11"/>
  <c r="E9" i="11"/>
  <c r="L9" i="11"/>
  <c r="F9" i="11"/>
  <c r="D21" i="7"/>
  <c r="H21" i="7"/>
  <c r="L21" i="7"/>
  <c r="J21" i="7"/>
  <c r="G9" i="11"/>
  <c r="E30" i="11"/>
  <c r="C35" i="11"/>
  <c r="C9" i="7"/>
  <c r="F11" i="7"/>
  <c r="F11" i="11"/>
  <c r="C17" i="11"/>
  <c r="D19" i="7"/>
  <c r="D18" i="11"/>
  <c r="H19" i="7"/>
  <c r="H18" i="11"/>
  <c r="L19" i="7"/>
  <c r="L18" i="11"/>
  <c r="E19" i="7"/>
  <c r="E18" i="11"/>
  <c r="I19" i="7"/>
  <c r="I18" i="11"/>
  <c r="N18" i="11"/>
  <c r="E21" i="7"/>
  <c r="I21" i="7"/>
  <c r="D13" i="7"/>
  <c r="H17" i="11"/>
  <c r="L17" i="11"/>
  <c r="L6" i="11"/>
  <c r="L25" i="11"/>
  <c r="L21" i="11"/>
  <c r="G40" i="13"/>
  <c r="H9" i="11"/>
  <c r="D30" i="11"/>
  <c r="D5" i="11"/>
  <c r="D34" i="11"/>
  <c r="I29" i="11"/>
  <c r="I35" i="11"/>
  <c r="I5" i="11"/>
  <c r="I27" i="11"/>
  <c r="I33" i="11"/>
  <c r="I36" i="11"/>
  <c r="I31" i="11"/>
  <c r="D17" i="11"/>
  <c r="D27" i="11"/>
  <c r="I30" i="11"/>
  <c r="H30" i="11"/>
  <c r="H29" i="11"/>
  <c r="H35" i="11"/>
  <c r="H5" i="11"/>
  <c r="K21" i="11"/>
  <c r="L31" i="11"/>
  <c r="I17" i="11"/>
  <c r="K9" i="11"/>
  <c r="F34" i="11"/>
  <c r="F31" i="11"/>
  <c r="F27" i="11"/>
  <c r="F33" i="11"/>
  <c r="F30" i="11"/>
  <c r="J31" i="11"/>
  <c r="J27" i="11"/>
  <c r="J33" i="11"/>
  <c r="J30" i="11"/>
  <c r="H9" i="7"/>
  <c r="F17" i="11"/>
  <c r="J17" i="11"/>
  <c r="H13" i="7"/>
  <c r="L13" i="7"/>
  <c r="E9" i="7"/>
  <c r="I9" i="7"/>
  <c r="F5" i="11"/>
  <c r="H27" i="11"/>
  <c r="H33" i="11"/>
  <c r="F35" i="11"/>
  <c r="D31" i="11"/>
  <c r="K25" i="11"/>
  <c r="L30" i="11"/>
  <c r="L29" i="11"/>
  <c r="L35" i="11"/>
  <c r="L27" i="11"/>
  <c r="L33" i="11"/>
  <c r="L36" i="11"/>
  <c r="L5" i="11"/>
  <c r="G35" i="13"/>
  <c r="G34" i="11"/>
  <c r="E35" i="11"/>
  <c r="E5" i="11"/>
  <c r="E34" i="11"/>
  <c r="E31" i="11"/>
  <c r="E27" i="11"/>
  <c r="E33" i="11"/>
  <c r="L9" i="7"/>
  <c r="E17" i="11"/>
  <c r="D9" i="11"/>
  <c r="C34" i="11"/>
  <c r="C31" i="11"/>
  <c r="C27" i="11"/>
  <c r="C33" i="11"/>
  <c r="C30" i="11"/>
  <c r="G31" i="11"/>
  <c r="G27" i="11"/>
  <c r="G33" i="11"/>
  <c r="G30" i="11"/>
  <c r="G35" i="11"/>
  <c r="G5" i="11"/>
  <c r="K31" i="11"/>
  <c r="K27" i="11"/>
  <c r="K33" i="11"/>
  <c r="K30" i="11"/>
  <c r="K29" i="11"/>
  <c r="K35" i="11"/>
  <c r="K5" i="11"/>
  <c r="D9" i="7"/>
  <c r="J9" i="7"/>
  <c r="E11" i="7"/>
  <c r="E11" i="11"/>
  <c r="G17" i="11"/>
  <c r="K17" i="11"/>
  <c r="E13" i="7"/>
  <c r="I13" i="7"/>
  <c r="J5" i="11"/>
  <c r="N5" i="11"/>
  <c r="G13" i="11"/>
  <c r="G19" i="11"/>
  <c r="G21" i="11"/>
  <c r="J29" i="11"/>
  <c r="J35" i="11"/>
  <c r="J36" i="11"/>
  <c r="H31" i="11"/>
  <c r="E28" i="13"/>
  <c r="I28" i="13"/>
  <c r="E30" i="13"/>
  <c r="I30" i="13"/>
  <c r="G34" i="13"/>
  <c r="G41" i="13"/>
  <c r="G36" i="13"/>
  <c r="C15" i="7"/>
  <c r="C12" i="11"/>
  <c r="F28" i="13"/>
  <c r="J28" i="13"/>
  <c r="F30" i="13"/>
  <c r="J30" i="13"/>
  <c r="H36" i="11"/>
  <c r="D33" i="11"/>
  <c r="O33" i="11"/>
  <c r="K36" i="11"/>
  <c r="O18" i="11"/>
  <c r="F36" i="11"/>
  <c r="G11" i="7"/>
  <c r="G11" i="11"/>
  <c r="K11" i="7"/>
  <c r="K11" i="11"/>
  <c r="D15" i="7"/>
  <c r="D12" i="11"/>
  <c r="L15" i="7"/>
  <c r="L12" i="11"/>
  <c r="I15" i="7"/>
  <c r="I12" i="11"/>
  <c r="G15" i="7"/>
  <c r="G12" i="11"/>
  <c r="K15" i="7"/>
  <c r="K12" i="11"/>
  <c r="D11" i="7"/>
  <c r="D11" i="11"/>
  <c r="L11" i="7"/>
  <c r="L11" i="11"/>
  <c r="I11" i="7"/>
  <c r="I11" i="11"/>
  <c r="G36" i="11"/>
  <c r="E36" i="11"/>
  <c r="N34" i="11"/>
  <c r="O17" i="11"/>
  <c r="O29" i="11"/>
  <c r="N17" i="11"/>
  <c r="G39" i="13"/>
  <c r="G33" i="13"/>
  <c r="N31" i="11"/>
  <c r="O30" i="11"/>
  <c r="C11" i="7"/>
  <c r="C11" i="11"/>
  <c r="O34" i="11"/>
  <c r="H15" i="7"/>
  <c r="H12" i="11"/>
  <c r="N9" i="11"/>
  <c r="C36" i="11"/>
  <c r="N30" i="11"/>
  <c r="O5" i="11"/>
  <c r="D35" i="11"/>
  <c r="N35" i="11"/>
  <c r="N29" i="11"/>
  <c r="N33" i="11"/>
  <c r="O9" i="11"/>
  <c r="H11" i="7"/>
  <c r="H11" i="11"/>
  <c r="O11" i="11"/>
  <c r="N28" i="11"/>
  <c r="N27" i="11"/>
  <c r="O28" i="11"/>
  <c r="K44" i="13"/>
  <c r="K57" i="7"/>
  <c r="K35" i="13"/>
  <c r="K33" i="13"/>
  <c r="K34" i="13"/>
  <c r="K39" i="13"/>
  <c r="K36" i="13"/>
  <c r="K37" i="13"/>
  <c r="K41" i="13"/>
  <c r="K40" i="13"/>
  <c r="J25" i="11"/>
  <c r="J21" i="11"/>
  <c r="J13" i="11"/>
  <c r="J19" i="11"/>
  <c r="J6" i="11"/>
  <c r="H7" i="11"/>
  <c r="I42" i="13"/>
  <c r="I6" i="11"/>
  <c r="I25" i="11"/>
  <c r="I21" i="11"/>
  <c r="I13" i="11"/>
  <c r="I19" i="11"/>
  <c r="C37" i="13"/>
  <c r="D6" i="11"/>
  <c r="D25" i="11"/>
  <c r="D21" i="11"/>
  <c r="D13" i="11"/>
  <c r="L42" i="13"/>
  <c r="F25" i="11"/>
  <c r="F21" i="11"/>
  <c r="F13" i="11"/>
  <c r="F19" i="11"/>
  <c r="F6" i="11"/>
  <c r="L7" i="11"/>
  <c r="I7" i="11"/>
  <c r="O31" i="11"/>
  <c r="K42" i="13"/>
  <c r="E6" i="11"/>
  <c r="E25" i="11"/>
  <c r="E21" i="11"/>
  <c r="E13" i="11"/>
  <c r="H37" i="13"/>
  <c r="G6" i="11"/>
  <c r="C42" i="13"/>
  <c r="K6" i="11"/>
  <c r="G44" i="13"/>
  <c r="G57" i="7"/>
  <c r="J42" i="13"/>
  <c r="C21" i="11"/>
  <c r="C25" i="11"/>
  <c r="C13" i="11"/>
  <c r="C19" i="11"/>
  <c r="H6" i="11"/>
  <c r="H25" i="11"/>
  <c r="H21" i="11"/>
  <c r="H13" i="11"/>
  <c r="H19" i="11"/>
  <c r="O27" i="11"/>
  <c r="D42" i="13"/>
  <c r="G42" i="13"/>
  <c r="G37" i="13"/>
  <c r="O40" i="11"/>
  <c r="N40" i="11"/>
  <c r="O38" i="11"/>
  <c r="N38" i="11"/>
  <c r="L25" i="7"/>
  <c r="L26" i="7"/>
  <c r="L23" i="7"/>
  <c r="L14" i="11"/>
  <c r="H25" i="7"/>
  <c r="H26" i="7"/>
  <c r="H23" i="7"/>
  <c r="H14" i="11"/>
  <c r="K26" i="7"/>
  <c r="K23" i="7"/>
  <c r="K14" i="11"/>
  <c r="K25" i="7"/>
  <c r="I25" i="7"/>
  <c r="I26" i="7"/>
  <c r="I23" i="7"/>
  <c r="I14" i="11"/>
  <c r="G26" i="7"/>
  <c r="G23" i="7"/>
  <c r="G14" i="11"/>
  <c r="G25" i="7"/>
  <c r="D25" i="7"/>
  <c r="D23" i="7"/>
  <c r="D14" i="11"/>
  <c r="D26" i="7"/>
  <c r="F15" i="7"/>
  <c r="F12" i="11"/>
  <c r="E7" i="11"/>
  <c r="E15" i="7"/>
  <c r="E12" i="11"/>
  <c r="J15" i="7"/>
  <c r="J12" i="11"/>
  <c r="O12" i="11"/>
  <c r="K7" i="11"/>
  <c r="O35" i="11"/>
  <c r="H42" i="13"/>
  <c r="N11" i="11"/>
  <c r="D36" i="11"/>
  <c r="N21" i="11"/>
  <c r="J37" i="13"/>
  <c r="O25" i="11"/>
  <c r="N25" i="11"/>
  <c r="F44" i="13"/>
  <c r="F57" i="7"/>
  <c r="F34" i="13"/>
  <c r="F33" i="13"/>
  <c r="F41" i="13"/>
  <c r="F36" i="13"/>
  <c r="F35" i="13"/>
  <c r="F39" i="13"/>
  <c r="F40" i="13"/>
  <c r="G23" i="11"/>
  <c r="L44" i="13"/>
  <c r="L57" i="7"/>
  <c r="L40" i="13"/>
  <c r="L34" i="13"/>
  <c r="L35" i="13"/>
  <c r="L33" i="13"/>
  <c r="L39" i="13"/>
  <c r="L36" i="13"/>
  <c r="L41" i="13"/>
  <c r="O13" i="11"/>
  <c r="E19" i="11"/>
  <c r="D19" i="11"/>
  <c r="O19" i="11"/>
  <c r="E44" i="13"/>
  <c r="E57" i="7"/>
  <c r="E33" i="13"/>
  <c r="E41" i="13"/>
  <c r="E35" i="13"/>
  <c r="E39" i="13"/>
  <c r="E36" i="13"/>
  <c r="E40" i="13"/>
  <c r="E34" i="13"/>
  <c r="L37" i="13"/>
  <c r="O6" i="11"/>
  <c r="N6" i="11"/>
  <c r="F37" i="13"/>
  <c r="I8" i="11"/>
  <c r="I23" i="11"/>
  <c r="K23" i="11"/>
  <c r="C26" i="7"/>
  <c r="D8" i="11"/>
  <c r="C25" i="7"/>
  <c r="C23" i="7"/>
  <c r="C14" i="11"/>
  <c r="D7" i="11"/>
  <c r="E37" i="13"/>
  <c r="D44" i="13"/>
  <c r="D57" i="7"/>
  <c r="D39" i="13"/>
  <c r="D36" i="13"/>
  <c r="D35" i="13"/>
  <c r="D41" i="13"/>
  <c r="D33" i="13"/>
  <c r="D40" i="13"/>
  <c r="D34" i="13"/>
  <c r="N13" i="11"/>
  <c r="E42" i="13"/>
  <c r="I44" i="13"/>
  <c r="I57" i="7"/>
  <c r="I41" i="13"/>
  <c r="I34" i="13"/>
  <c r="I39" i="13"/>
  <c r="I33" i="13"/>
  <c r="I35" i="13"/>
  <c r="I36" i="13"/>
  <c r="I40" i="13"/>
  <c r="H23" i="11"/>
  <c r="H8" i="11"/>
  <c r="J7" i="11"/>
  <c r="F7" i="11"/>
  <c r="D23" i="11"/>
  <c r="L23" i="11"/>
  <c r="L8" i="11"/>
  <c r="F42" i="13"/>
  <c r="J44" i="13"/>
  <c r="J57" i="7"/>
  <c r="J40" i="13"/>
  <c r="J39" i="13"/>
  <c r="J33" i="13"/>
  <c r="J41" i="13"/>
  <c r="J34" i="13"/>
  <c r="J36" i="13"/>
  <c r="J35" i="13"/>
  <c r="H44" i="13"/>
  <c r="H57" i="7"/>
  <c r="H40" i="13"/>
  <c r="H33" i="13"/>
  <c r="H35" i="13"/>
  <c r="H34" i="13"/>
  <c r="H39" i="13"/>
  <c r="H36" i="13"/>
  <c r="H41" i="13"/>
  <c r="G7" i="11"/>
  <c r="N12" i="11"/>
  <c r="D37" i="13"/>
  <c r="O21" i="11"/>
  <c r="C44" i="13"/>
  <c r="C57" i="7"/>
  <c r="C33" i="13"/>
  <c r="C41" i="13"/>
  <c r="C40" i="13"/>
  <c r="C34" i="13"/>
  <c r="C35" i="13"/>
  <c r="C39" i="13"/>
  <c r="C36" i="13"/>
  <c r="I37" i="13"/>
  <c r="O36" i="11"/>
  <c r="N36" i="11"/>
  <c r="E26" i="7"/>
  <c r="E23" i="7"/>
  <c r="E14" i="11"/>
  <c r="E25" i="7"/>
  <c r="I27" i="7"/>
  <c r="I15" i="11"/>
  <c r="I31" i="7"/>
  <c r="K31" i="7"/>
  <c r="K27" i="7"/>
  <c r="K15" i="11"/>
  <c r="J26" i="7"/>
  <c r="K8" i="11"/>
  <c r="J23" i="7"/>
  <c r="J14" i="11"/>
  <c r="J25" i="7"/>
  <c r="F26" i="7"/>
  <c r="G8" i="11"/>
  <c r="F23" i="7"/>
  <c r="F14" i="11"/>
  <c r="F25" i="7"/>
  <c r="D27" i="7"/>
  <c r="D15" i="11"/>
  <c r="D31" i="7"/>
  <c r="L31" i="7"/>
  <c r="L27" i="7"/>
  <c r="L15" i="11"/>
  <c r="G31" i="7"/>
  <c r="G27" i="7"/>
  <c r="G15" i="11"/>
  <c r="H31" i="7"/>
  <c r="H27" i="7"/>
  <c r="H15" i="11"/>
  <c r="O14" i="11"/>
  <c r="N14" i="11"/>
  <c r="E8" i="11"/>
  <c r="E23" i="11"/>
  <c r="C23" i="11"/>
  <c r="C31" i="7"/>
  <c r="C27" i="7"/>
  <c r="C15" i="11"/>
  <c r="N19" i="11"/>
  <c r="O39" i="11"/>
  <c r="N39" i="11"/>
  <c r="N7" i="11"/>
  <c r="O7" i="11"/>
  <c r="J23" i="11"/>
  <c r="J8" i="11"/>
  <c r="F23" i="11"/>
  <c r="F8" i="11"/>
  <c r="O8" i="11"/>
  <c r="L34" i="7"/>
  <c r="L35" i="7"/>
  <c r="L22" i="11"/>
  <c r="L24" i="11"/>
  <c r="J27" i="7"/>
  <c r="J15" i="11"/>
  <c r="J31" i="7"/>
  <c r="H34" i="7"/>
  <c r="H35" i="7"/>
  <c r="H22" i="11"/>
  <c r="H24" i="11"/>
  <c r="I32" i="7"/>
  <c r="D34" i="7"/>
  <c r="D35" i="7"/>
  <c r="D22" i="11"/>
  <c r="F27" i="7"/>
  <c r="F15" i="11"/>
  <c r="F31" i="7"/>
  <c r="K34" i="7"/>
  <c r="K35" i="7"/>
  <c r="K22" i="11"/>
  <c r="K24" i="11"/>
  <c r="L32" i="7"/>
  <c r="G34" i="7"/>
  <c r="G35" i="7"/>
  <c r="G22" i="11"/>
  <c r="G24" i="11"/>
  <c r="H32" i="7"/>
  <c r="I34" i="7"/>
  <c r="I35" i="7"/>
  <c r="I22" i="11"/>
  <c r="I24" i="11"/>
  <c r="E27" i="7"/>
  <c r="E15" i="11"/>
  <c r="E31" i="7"/>
  <c r="O15" i="11"/>
  <c r="O23" i="11"/>
  <c r="N8" i="11"/>
  <c r="C34" i="7"/>
  <c r="C35" i="7"/>
  <c r="C22" i="11"/>
  <c r="C24" i="11"/>
  <c r="D32" i="7"/>
  <c r="N15" i="11"/>
  <c r="D24" i="11"/>
  <c r="N23" i="11"/>
  <c r="F34" i="7"/>
  <c r="F35" i="7"/>
  <c r="F22" i="11"/>
  <c r="F24" i="11"/>
  <c r="G32" i="7"/>
  <c r="J34" i="7"/>
  <c r="J35" i="7"/>
  <c r="J22" i="11"/>
  <c r="J24" i="11"/>
  <c r="K32" i="7"/>
  <c r="E34" i="7"/>
  <c r="E35" i="7"/>
  <c r="E22" i="11"/>
  <c r="E24" i="11"/>
  <c r="F32" i="7"/>
  <c r="J32" i="7"/>
  <c r="E32" i="7"/>
  <c r="O24" i="11"/>
  <c r="N24" i="11"/>
  <c r="O22" i="11"/>
  <c r="N22" i="11"/>
  <c r="I22" i="29" l="1"/>
  <c r="G22" i="29"/>
  <c r="H22" i="29"/>
  <c r="N13" i="28"/>
  <c r="L13" i="28"/>
  <c r="L17" i="28"/>
  <c r="L16" i="28"/>
  <c r="L12" i="28"/>
  <c r="N16" i="28"/>
  <c r="N15" i="28"/>
  <c r="N22" i="28" s="1"/>
  <c r="N20" i="28" s="1"/>
  <c r="L24" i="28"/>
  <c r="L25" i="28" s="1"/>
  <c r="J22" i="29"/>
  <c r="J73" i="27"/>
  <c r="L73" i="27"/>
  <c r="H71" i="27"/>
  <c r="H72" i="27"/>
  <c r="C117" i="27"/>
  <c r="D91" i="27"/>
  <c r="G96" i="27"/>
  <c r="G17" i="27" s="1"/>
  <c r="E102" i="27"/>
  <c r="D105" i="27"/>
  <c r="D110" i="27"/>
  <c r="C102" i="27"/>
  <c r="E105" i="27"/>
  <c r="F90" i="27"/>
  <c r="F91" i="27" s="1"/>
  <c r="E91" i="27"/>
  <c r="D59" i="27"/>
  <c r="D4" i="27" s="1"/>
  <c r="D95" i="27"/>
  <c r="D96" i="27" s="1"/>
  <c r="D17" i="27" s="1"/>
  <c r="G91" i="27"/>
  <c r="G105" i="27"/>
  <c r="G102" i="27"/>
  <c r="F102" i="27"/>
  <c r="I76" i="27"/>
  <c r="G110" i="27"/>
  <c r="D13" i="27"/>
  <c r="D38" i="27"/>
  <c r="D109" i="27" s="1"/>
  <c r="D112" i="27" s="1"/>
  <c r="D23" i="27" s="1"/>
  <c r="G13" i="27"/>
  <c r="G38" i="27"/>
  <c r="G109" i="27" s="1"/>
  <c r="G112" i="27" s="1"/>
  <c r="G23" i="27" s="1"/>
  <c r="E38" i="27"/>
  <c r="E109" i="27" s="1"/>
  <c r="E112" i="27" s="1"/>
  <c r="E23" i="27" s="1"/>
  <c r="E13" i="27"/>
  <c r="C38" i="27"/>
  <c r="C109" i="27" s="1"/>
  <c r="C13" i="27"/>
  <c r="F13" i="27"/>
  <c r="F38" i="27"/>
  <c r="F109" i="27" s="1"/>
  <c r="F112" i="27" s="1"/>
  <c r="F23" i="27" s="1"/>
  <c r="H30" i="27"/>
  <c r="H28" i="27"/>
  <c r="H88" i="27" s="1"/>
  <c r="D117" i="27"/>
  <c r="K45" i="27"/>
  <c r="J76" i="27"/>
  <c r="J51" i="27"/>
  <c r="I72" i="27"/>
  <c r="I71" i="27"/>
  <c r="J50" i="27"/>
  <c r="I27" i="27"/>
  <c r="H32" i="27"/>
  <c r="H54" i="27"/>
  <c r="H96" i="27"/>
  <c r="M22" i="28"/>
  <c r="M24" i="28" s="1"/>
  <c r="M25" i="28" s="1"/>
  <c r="N24" i="28"/>
  <c r="N25" i="28" s="1"/>
  <c r="N12" i="28"/>
  <c r="N14" i="28"/>
  <c r="N17" i="28"/>
  <c r="K22" i="29"/>
  <c r="K29" i="29" s="1"/>
  <c r="E32" i="29"/>
  <c r="K30" i="29" s="1"/>
  <c r="G12" i="16"/>
  <c r="I26" i="16"/>
  <c r="I27" i="16"/>
  <c r="H15" i="16"/>
  <c r="H14" i="16"/>
  <c r="J26" i="16" s="1"/>
  <c r="J27" i="16" s="1"/>
  <c r="J33" i="16" s="1"/>
  <c r="G10" i="16"/>
  <c r="H29" i="27" l="1"/>
  <c r="H117" i="27" s="1"/>
  <c r="H89" i="27"/>
  <c r="H98" i="27"/>
  <c r="H70" i="27"/>
  <c r="H69" i="27" s="1"/>
  <c r="H121" i="27" s="1"/>
  <c r="J27" i="27"/>
  <c r="I30" i="27"/>
  <c r="I28" i="27"/>
  <c r="I29" i="27" s="1"/>
  <c r="I116" i="27"/>
  <c r="I96" i="27"/>
  <c r="I70" i="27" s="1"/>
  <c r="I69" i="27" s="1"/>
  <c r="I121" i="27" s="1"/>
  <c r="I32" i="27"/>
  <c r="I54" i="27"/>
  <c r="K76" i="27"/>
  <c r="L45" i="27"/>
  <c r="L76" i="27" s="1"/>
  <c r="H87" i="27"/>
  <c r="K51" i="27"/>
  <c r="J72" i="27"/>
  <c r="K50" i="27"/>
  <c r="J71" i="27"/>
  <c r="K32" i="29"/>
  <c r="D30" i="16"/>
  <c r="G15" i="16"/>
  <c r="G14" i="16"/>
  <c r="E30" i="16"/>
  <c r="E26" i="16" s="1"/>
  <c r="J32" i="16"/>
  <c r="J10" i="16"/>
  <c r="J12" i="16"/>
  <c r="J11" i="16"/>
  <c r="J13" i="16"/>
  <c r="E38" i="29" l="1"/>
  <c r="E40" i="29" s="1"/>
  <c r="G35" i="29" s="1"/>
  <c r="H103" i="27"/>
  <c r="H31" i="27"/>
  <c r="H36" i="27" s="1"/>
  <c r="H90" i="27"/>
  <c r="H91" i="27" s="1"/>
  <c r="H67" i="27" s="1"/>
  <c r="I31" i="27"/>
  <c r="I117" i="27"/>
  <c r="J116" i="27"/>
  <c r="J96" i="27"/>
  <c r="J70" i="27" s="1"/>
  <c r="J69" i="27" s="1"/>
  <c r="J121" i="27" s="1"/>
  <c r="J32" i="27"/>
  <c r="K27" i="27"/>
  <c r="J30" i="27"/>
  <c r="J28" i="27"/>
  <c r="J29" i="27" s="1"/>
  <c r="J54" i="27"/>
  <c r="I101" i="27"/>
  <c r="I104" i="27" s="1"/>
  <c r="I35" i="27" s="1"/>
  <c r="H102" i="27"/>
  <c r="H37" i="27"/>
  <c r="H38" i="27" s="1"/>
  <c r="L51" i="27"/>
  <c r="L72" i="27" s="1"/>
  <c r="K72" i="27"/>
  <c r="I87" i="27"/>
  <c r="I88" i="27"/>
  <c r="L50" i="27"/>
  <c r="L71" i="27" s="1"/>
  <c r="K71" i="27"/>
  <c r="H48" i="27"/>
  <c r="H52" i="27" s="1"/>
  <c r="I95" i="27"/>
  <c r="J14" i="16"/>
  <c r="J15" i="16"/>
  <c r="E25" i="16" s="1"/>
  <c r="E28" i="16" s="1"/>
  <c r="J21" i="16" s="1"/>
  <c r="J22" i="16" s="1"/>
  <c r="I33" i="16" s="1"/>
  <c r="J34" i="16" s="1"/>
  <c r="H65" i="27" l="1"/>
  <c r="H64" i="27" s="1"/>
  <c r="H109" i="27"/>
  <c r="J117" i="27"/>
  <c r="J31" i="27"/>
  <c r="J87" i="27"/>
  <c r="K96" i="27"/>
  <c r="K70" i="27" s="1"/>
  <c r="K69" i="27" s="1"/>
  <c r="K121" i="27" s="1"/>
  <c r="K32" i="27"/>
  <c r="K28" i="27"/>
  <c r="K29" i="27"/>
  <c r="K30" i="27"/>
  <c r="K116" i="27"/>
  <c r="L27" i="27"/>
  <c r="K54" i="27"/>
  <c r="I103" i="27"/>
  <c r="I89" i="27"/>
  <c r="I90" i="27" s="1"/>
  <c r="I91" i="27" s="1"/>
  <c r="I67" i="27" s="1"/>
  <c r="I97" i="27"/>
  <c r="I34" i="27" s="1"/>
  <c r="I66" i="27" s="1"/>
  <c r="I98" i="27"/>
  <c r="J88" i="27"/>
  <c r="I36" i="27"/>
  <c r="K87" i="27" l="1"/>
  <c r="I37" i="27"/>
  <c r="I38" i="27" s="1"/>
  <c r="L96" i="27"/>
  <c r="L70" i="27" s="1"/>
  <c r="L69" i="27" s="1"/>
  <c r="L121" i="27" s="1"/>
  <c r="L32" i="27"/>
  <c r="L30" i="27"/>
  <c r="L28" i="27"/>
  <c r="L29" i="27" s="1"/>
  <c r="L54" i="27"/>
  <c r="L116" i="27"/>
  <c r="K88" i="27"/>
  <c r="K31" i="27"/>
  <c r="K117" i="27"/>
  <c r="H110" i="27"/>
  <c r="H77" i="27" s="1"/>
  <c r="H75" i="27" s="1"/>
  <c r="H122" i="27" s="1"/>
  <c r="I48" i="27"/>
  <c r="I52" i="27" s="1"/>
  <c r="J95" i="27"/>
  <c r="J103" i="27"/>
  <c r="J89" i="27"/>
  <c r="J90" i="27" s="1"/>
  <c r="J91" i="27" s="1"/>
  <c r="J67" i="27" s="1"/>
  <c r="I102" i="27"/>
  <c r="J101" i="27"/>
  <c r="J104" i="27" s="1"/>
  <c r="J35" i="27" s="1"/>
  <c r="H120" i="27"/>
  <c r="H79" i="27" l="1"/>
  <c r="H81" i="27" s="1"/>
  <c r="H56" i="27" s="1"/>
  <c r="H57" i="27" s="1"/>
  <c r="H59" i="27" s="1"/>
  <c r="I65" i="27"/>
  <c r="I64" i="27" s="1"/>
  <c r="I109" i="27"/>
  <c r="I110" i="27" s="1"/>
  <c r="I77" i="27" s="1"/>
  <c r="I75" i="27" s="1"/>
  <c r="I122" i="27" s="1"/>
  <c r="L87" i="27"/>
  <c r="H111" i="27"/>
  <c r="L31" i="27"/>
  <c r="L117" i="27"/>
  <c r="J102" i="27"/>
  <c r="K101" i="27"/>
  <c r="K104" i="27" s="1"/>
  <c r="K35" i="27" s="1"/>
  <c r="J97" i="27"/>
  <c r="J34" i="27" s="1"/>
  <c r="K103" i="27"/>
  <c r="K89" i="27"/>
  <c r="K90" i="27" s="1"/>
  <c r="K91" i="27" s="1"/>
  <c r="K67" i="27" s="1"/>
  <c r="L88" i="27"/>
  <c r="I80" i="27" l="1"/>
  <c r="J98" i="27"/>
  <c r="K95" i="27" s="1"/>
  <c r="J48" i="27"/>
  <c r="J52" i="27" s="1"/>
  <c r="I108" i="27"/>
  <c r="I111" i="27" s="1"/>
  <c r="H43" i="27"/>
  <c r="H46" i="27" s="1"/>
  <c r="H4" i="27" s="1"/>
  <c r="K102" i="27"/>
  <c r="L101" i="27"/>
  <c r="L104" i="27" s="1"/>
  <c r="L35" i="27" s="1"/>
  <c r="L89" i="27"/>
  <c r="L103" i="27"/>
  <c r="J66" i="27"/>
  <c r="J36" i="27"/>
  <c r="L90" i="27"/>
  <c r="L91" i="27" s="1"/>
  <c r="L67" i="27" s="1"/>
  <c r="I79" i="27"/>
  <c r="I81" i="27" s="1"/>
  <c r="I120" i="27"/>
  <c r="L102" i="27" l="1"/>
  <c r="I43" i="27"/>
  <c r="I46" i="27" s="1"/>
  <c r="J108" i="27"/>
  <c r="J80" i="27"/>
  <c r="I56" i="27"/>
  <c r="I57" i="27" s="1"/>
  <c r="I59" i="27" s="1"/>
  <c r="J37" i="27"/>
  <c r="J38" i="27" s="1"/>
  <c r="K97" i="27"/>
  <c r="K34" i="27" s="1"/>
  <c r="I4" i="27" l="1"/>
  <c r="K98" i="27"/>
  <c r="L95" i="27" s="1"/>
  <c r="J109" i="27"/>
  <c r="J110" i="27" s="1"/>
  <c r="J77" i="27" s="1"/>
  <c r="J75" i="27" s="1"/>
  <c r="J122" i="27" s="1"/>
  <c r="J65" i="27"/>
  <c r="J64" i="27" s="1"/>
  <c r="K66" i="27"/>
  <c r="K36" i="27"/>
  <c r="K48" i="27" l="1"/>
  <c r="K52" i="27" s="1"/>
  <c r="K37" i="27"/>
  <c r="K38" i="27" s="1"/>
  <c r="J120" i="27"/>
  <c r="J79" i="27"/>
  <c r="J81" i="27" s="1"/>
  <c r="J111" i="27"/>
  <c r="L97" i="27"/>
  <c r="L34" i="27" s="1"/>
  <c r="L98" i="27" l="1"/>
  <c r="L48" i="27" s="1"/>
  <c r="L52" i="27" s="1"/>
  <c r="K65" i="27"/>
  <c r="K64" i="27" s="1"/>
  <c r="K109" i="27"/>
  <c r="K110" i="27" s="1"/>
  <c r="K77" i="27" s="1"/>
  <c r="K75" i="27" s="1"/>
  <c r="K122" i="27" s="1"/>
  <c r="K80" i="27"/>
  <c r="J56" i="27"/>
  <c r="J57" i="27" s="1"/>
  <c r="J59" i="27" s="1"/>
  <c r="L66" i="27"/>
  <c r="L36" i="27"/>
  <c r="K108" i="27"/>
  <c r="J43" i="27"/>
  <c r="J46" i="27" s="1"/>
  <c r="J4" i="27" l="1"/>
  <c r="K111" i="27"/>
  <c r="K43" i="27"/>
  <c r="K46" i="27" s="1"/>
  <c r="L108" i="27"/>
  <c r="L37" i="27"/>
  <c r="L38" i="27" s="1"/>
  <c r="K120" i="27"/>
  <c r="K79" i="27"/>
  <c r="K81" i="27" s="1"/>
  <c r="L80" i="27" l="1"/>
  <c r="K56" i="27"/>
  <c r="K57" i="27" s="1"/>
  <c r="K59" i="27" s="1"/>
  <c r="K4" i="27" s="1"/>
  <c r="L65" i="27"/>
  <c r="L64" i="27" s="1"/>
  <c r="L109" i="27"/>
  <c r="L110" i="27" s="1"/>
  <c r="L77" i="27" s="1"/>
  <c r="L75" i="27" s="1"/>
  <c r="L122" i="27" s="1"/>
  <c r="L120" i="27" l="1"/>
  <c r="L79" i="27"/>
  <c r="L81" i="27" s="1"/>
  <c r="L56" i="27" s="1"/>
  <c r="L57" i="27" s="1"/>
  <c r="L59" i="27" s="1"/>
  <c r="L111" i="27"/>
  <c r="L43" i="27" s="1"/>
  <c r="L46" i="27" s="1"/>
  <c r="L4" i="27" l="1"/>
</calcChain>
</file>

<file path=xl/sharedStrings.xml><?xml version="1.0" encoding="utf-8"?>
<sst xmlns="http://schemas.openxmlformats.org/spreadsheetml/2006/main" count="439" uniqueCount="286">
  <si>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</si>
  <si>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</si>
  <si>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</si>
  <si>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</si>
  <si>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</si>
  <si>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</si>
  <si>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</si>
  <si>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</si>
  <si>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</si>
  <si>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</si>
  <si>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</si>
  <si>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</si>
  <si>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</si>
  <si>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</si>
  <si>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</si>
  <si>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</si>
  <si>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</si>
  <si>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</si>
  <si>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</si>
  <si>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</si>
  <si>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</si>
  <si>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</si>
  <si>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</si>
  <si>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</si>
  <si>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</si>
  <si>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</si>
  <si>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</si>
  <si>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</si>
  <si>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</si>
  <si>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</si>
  <si>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</si>
  <si>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</si>
  <si>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INFOSYS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</si>
  <si>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</si>
  <si>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</si>
  <si>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</si>
  <si>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</si>
  <si>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</si>
  <si>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</si>
  <si>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</si>
  <si>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</si>
  <si>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</si>
  <si>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</si>
  <si>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</si>
  <si>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</si>
  <si>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</si>
  <si>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</si>
  <si>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</si>
  <si>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</si>
  <si>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</si>
  <si>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</si>
  <si>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</si>
  <si>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</si>
  <si>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</si>
  <si>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</si>
  <si>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#</t>
  </si>
  <si>
    <t>Income Statement</t>
  </si>
  <si>
    <t xml:space="preserve">Sales </t>
  </si>
  <si>
    <t>Sales Growth Rate</t>
  </si>
  <si>
    <t>COGS</t>
  </si>
  <si>
    <t>COGS% of Sales</t>
  </si>
  <si>
    <t>Gross Profits</t>
  </si>
  <si>
    <t>Gross Profits% of Sales</t>
  </si>
  <si>
    <t>Selling &amp; Adm Expense</t>
  </si>
  <si>
    <t>S&amp;A Exp % of sales</t>
  </si>
  <si>
    <t>EBITDA</t>
  </si>
  <si>
    <t>EBITDA% of Sales</t>
  </si>
  <si>
    <t>Depreciation% of Sales</t>
  </si>
  <si>
    <t>Interest% of Sales</t>
  </si>
  <si>
    <t>EBT</t>
  </si>
  <si>
    <t>EBT% of Sales</t>
  </si>
  <si>
    <t>Effective Tax Rate</t>
  </si>
  <si>
    <t>Net Profits</t>
  </si>
  <si>
    <t>Net Margins</t>
  </si>
  <si>
    <t>Earning Per Share</t>
  </si>
  <si>
    <t>Dividend Per Share</t>
  </si>
  <si>
    <t>EPS Growth rate</t>
  </si>
  <si>
    <t>Dividend Payout Ratio</t>
  </si>
  <si>
    <t>Retained Earning</t>
  </si>
  <si>
    <t>Balance Sheet</t>
  </si>
  <si>
    <t>Total liablities</t>
  </si>
  <si>
    <t>Fixed Assests Net Block</t>
  </si>
  <si>
    <t>Cash Flow Statement</t>
  </si>
  <si>
    <t>Check</t>
  </si>
  <si>
    <t>Note/ Key Assumptions</t>
  </si>
  <si>
    <t xml:space="preserve">Sales growth </t>
  </si>
  <si>
    <t>EBITDA growth</t>
  </si>
  <si>
    <t>EBT growth</t>
  </si>
  <si>
    <t>Net profit growth</t>
  </si>
  <si>
    <t>Dividend growth</t>
  </si>
  <si>
    <t>Gross margin</t>
  </si>
  <si>
    <t>EBITDA margin</t>
  </si>
  <si>
    <t>EBT margin</t>
  </si>
  <si>
    <t>Net profit margin</t>
  </si>
  <si>
    <t>Sales expense% sales</t>
  </si>
  <si>
    <t>Depreciation% sales</t>
  </si>
  <si>
    <t>Operating income% sales</t>
  </si>
  <si>
    <t>Return on capital employed</t>
  </si>
  <si>
    <t>Retained earning</t>
  </si>
  <si>
    <t>Return on  equity%</t>
  </si>
  <si>
    <t xml:space="preserve">Self sustained growth rate </t>
  </si>
  <si>
    <t>Interest coverage ratio</t>
  </si>
  <si>
    <t>Debtor turnover ratio</t>
  </si>
  <si>
    <t>Creditor turnover ratio</t>
  </si>
  <si>
    <t>Inventory turnover ratio</t>
  </si>
  <si>
    <t>Fixed asset turnover ratio</t>
  </si>
  <si>
    <t>Capital turnover ratio</t>
  </si>
  <si>
    <t>Debtor days</t>
  </si>
  <si>
    <t>Payable days</t>
  </si>
  <si>
    <t>Inventory days</t>
  </si>
  <si>
    <t>Cash conversion</t>
  </si>
  <si>
    <t>CFO/sales</t>
  </si>
  <si>
    <t>CFO/total assets</t>
  </si>
  <si>
    <t>CFO/total debt</t>
  </si>
  <si>
    <t>EBIT margin</t>
  </si>
  <si>
    <t>Mean</t>
  </si>
  <si>
    <t>Median</t>
  </si>
  <si>
    <t>Trendlines</t>
  </si>
  <si>
    <t>Particulars</t>
  </si>
  <si>
    <t>Weighted Average Cost Of Capital</t>
  </si>
  <si>
    <t>All The Figures Are in INR Unless Stated Otherwise</t>
  </si>
  <si>
    <t>Peer Comps</t>
  </si>
  <si>
    <t>Debt/</t>
  </si>
  <si>
    <t>Levered</t>
  </si>
  <si>
    <t>Unlevered</t>
  </si>
  <si>
    <t>Name of the Company</t>
  </si>
  <si>
    <t>Country</t>
  </si>
  <si>
    <t>Total Debt</t>
  </si>
  <si>
    <r>
      <t xml:space="preserve">Tax rate </t>
    </r>
    <r>
      <rPr>
        <vertAlign val="superscript"/>
        <sz val="11"/>
        <color theme="1"/>
        <rFont val="Calibri"/>
        <family val="2"/>
      </rPr>
      <t>1</t>
    </r>
  </si>
  <si>
    <t>Equity</t>
  </si>
  <si>
    <t>Capital</t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</si>
  <si>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</si>
  <si>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</si>
  <si>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Cost of Debt</t>
  </si>
  <si>
    <t>Cost of Equity</t>
  </si>
  <si>
    <t>Pre tax cost of debt</t>
  </si>
  <si>
    <t>Riskfree rate</t>
  </si>
  <si>
    <t>Tax rate</t>
  </si>
  <si>
    <t>Equity risk premium</t>
  </si>
  <si>
    <t>Post tax cost of debt</t>
  </si>
  <si>
    <r>
      <t>Levered beta</t>
    </r>
    <r>
      <rPr>
        <vertAlign val="superscript"/>
        <sz val="11"/>
        <color theme="1"/>
        <rFont val="Calibri"/>
        <family val="2"/>
      </rPr>
      <t xml:space="preserve"> 4</t>
    </r>
  </si>
  <si>
    <t>Cost of equity</t>
  </si>
  <si>
    <t>Levered beta</t>
  </si>
  <si>
    <t>Current</t>
  </si>
  <si>
    <t>Target</t>
  </si>
  <si>
    <t>Total debt</t>
  </si>
  <si>
    <t>Comps median unlevered beta</t>
  </si>
  <si>
    <t>Target debt/equity</t>
  </si>
  <si>
    <t>Total Capital</t>
  </si>
  <si>
    <t>Debt/Equity</t>
  </si>
  <si>
    <t>Weighted average cost of capital</t>
  </si>
  <si>
    <t>Total cost</t>
  </si>
  <si>
    <t xml:space="preserve">Total weight </t>
  </si>
  <si>
    <t>Debt</t>
  </si>
  <si>
    <t>Note:</t>
  </si>
  <si>
    <t>1. Tax rate considered as marginal tax rate for country</t>
  </si>
  <si>
    <t>2. Levered beta is based on 5 years monthly data</t>
  </si>
  <si>
    <t>3. Unlevered beta = levered beta/1+(1-tax rate)*debt/equity)</t>
  </si>
  <si>
    <t>4. levered beta = unlevered beta*1+(1-tax rate)*debt/equity)</t>
  </si>
  <si>
    <t>S.No.</t>
  </si>
  <si>
    <t>Name</t>
  </si>
  <si>
    <t>% of Sales</t>
  </si>
  <si>
    <t>CWIP</t>
  </si>
  <si>
    <t>Total Assets</t>
  </si>
  <si>
    <t>India</t>
  </si>
  <si>
    <t>Total Current Assets</t>
  </si>
  <si>
    <t>Net Working Capital</t>
  </si>
  <si>
    <t>EBIT</t>
  </si>
  <si>
    <t>Discounting Factor</t>
  </si>
  <si>
    <t>PV Of FCFF</t>
  </si>
  <si>
    <t>Expected Growth</t>
  </si>
  <si>
    <t>Terminal Growth</t>
  </si>
  <si>
    <t>WACC</t>
  </si>
  <si>
    <t>Calculation Of Terminal Value</t>
  </si>
  <si>
    <t>Terminal Value</t>
  </si>
  <si>
    <t>PV Of Terminal Value</t>
  </si>
  <si>
    <t>Calculation Of Value Of Operating Assets</t>
  </si>
  <si>
    <t>Value Of Operating Assets</t>
  </si>
  <si>
    <t>Equity Value Per Share</t>
  </si>
  <si>
    <t>Add : Cash</t>
  </si>
  <si>
    <t>Less: Debt</t>
  </si>
  <si>
    <t>Value Of Equity</t>
  </si>
  <si>
    <t>No. Of Shares</t>
  </si>
  <si>
    <t>Historical Data</t>
  </si>
  <si>
    <t>Forecast Period</t>
  </si>
  <si>
    <t>Balance Sheet Check</t>
  </si>
  <si>
    <t>Assumptions</t>
  </si>
  <si>
    <t>Sensitivity Analysis</t>
  </si>
  <si>
    <t>EV / EBITDA</t>
  </si>
  <si>
    <t>Equity Value</t>
  </si>
  <si>
    <t>Net Debt</t>
  </si>
  <si>
    <t>Revenue</t>
  </si>
  <si>
    <t>Net Profit</t>
  </si>
  <si>
    <t>Share Price</t>
  </si>
  <si>
    <t xml:space="preserve">No. Eq. Shares </t>
  </si>
  <si>
    <t xml:space="preserve"> </t>
  </si>
  <si>
    <t>EV/Revenue</t>
  </si>
  <si>
    <t>P/E</t>
  </si>
  <si>
    <t>High</t>
  </si>
  <si>
    <t>Average</t>
  </si>
  <si>
    <t>Low</t>
  </si>
  <si>
    <t>75th Percentile</t>
  </si>
  <si>
    <t>25th Percentile</t>
  </si>
  <si>
    <t>Implied Enterprise Value</t>
  </si>
  <si>
    <t>Implied Market Value</t>
  </si>
  <si>
    <t>Implied Value of Shares</t>
  </si>
  <si>
    <t>2) Minor differences may exist due to rounding of reported figures.</t>
  </si>
  <si>
    <r>
      <t xml:space="preserve">1) Financial data is sourced from the </t>
    </r>
    <r>
      <rPr>
        <i/>
        <u/>
        <sz val="9"/>
        <color theme="1"/>
        <rFont val="Calibri"/>
        <family val="2"/>
        <scheme val="minor"/>
      </rPr>
      <t>Screener.in</t>
    </r>
    <r>
      <rPr>
        <i/>
        <sz val="9"/>
        <color theme="1"/>
        <rFont val="Calibri"/>
        <family val="2"/>
        <scheme val="minor"/>
      </rPr>
      <t>.</t>
    </r>
  </si>
  <si>
    <t>Sales (% Growth)</t>
  </si>
  <si>
    <t>COGS (% Revenue</t>
  </si>
  <si>
    <t>Selling &amp; Adm Expense(% Revenue)</t>
  </si>
  <si>
    <t>Tax (% EBT</t>
  </si>
  <si>
    <t>Period</t>
  </si>
  <si>
    <t>Inventory (days)</t>
  </si>
  <si>
    <t>Accounts Receivables (days)</t>
  </si>
  <si>
    <t>Accounts Payables (days)</t>
  </si>
  <si>
    <t>Supporting Schedules</t>
  </si>
  <si>
    <t>Working Capital Schedule</t>
  </si>
  <si>
    <t>Change In Working Capital</t>
  </si>
  <si>
    <t>Depreciation Schedule</t>
  </si>
  <si>
    <t>PPE Opening Bal.</t>
  </si>
  <si>
    <t>PPE Closing Bal.</t>
  </si>
  <si>
    <t>Debt &amp; Interest Schedule</t>
  </si>
  <si>
    <t>Debt Opening</t>
  </si>
  <si>
    <t>Debt Closing</t>
  </si>
  <si>
    <t>Interest Exp.</t>
  </si>
  <si>
    <t>Interest Rate</t>
  </si>
  <si>
    <t xml:space="preserve">CWIP </t>
  </si>
  <si>
    <t>Capex % of Revenue</t>
  </si>
  <si>
    <t>Other Non Current Assets % Of Revenue</t>
  </si>
  <si>
    <t>Reserves &amp; Dividend Schedule</t>
  </si>
  <si>
    <t>Opening Reserves</t>
  </si>
  <si>
    <t>Profits</t>
  </si>
  <si>
    <t>Dividend Paid</t>
  </si>
  <si>
    <t>Closing Reserves</t>
  </si>
  <si>
    <t>Add. Depreciation</t>
  </si>
  <si>
    <t>Less. CIWC</t>
  </si>
  <si>
    <t>Opening Cash Balance</t>
  </si>
  <si>
    <t>Closing Cash Balance</t>
  </si>
  <si>
    <t>Other Income % Of Revenue</t>
  </si>
  <si>
    <t>Capex</t>
  </si>
  <si>
    <t>Addition In Investments</t>
  </si>
  <si>
    <t>Change In Other Assets</t>
  </si>
  <si>
    <t>Change In Other Liablities</t>
  </si>
  <si>
    <t>Charts &amp; Graphs</t>
  </si>
  <si>
    <t>Revenue (Sales)</t>
  </si>
  <si>
    <t>Gross Profit Margins %</t>
  </si>
  <si>
    <t>Cash From Operating Activites</t>
  </si>
  <si>
    <t>Cash From Investing Activites</t>
  </si>
  <si>
    <t>Cash From Financing Activites</t>
  </si>
  <si>
    <t>Year</t>
  </si>
  <si>
    <t>Other Liabilities % Of Revenue</t>
  </si>
  <si>
    <t>Total Non Current Assets</t>
  </si>
  <si>
    <t>Fixed Assets Net Block</t>
  </si>
  <si>
    <t>Enterprise Value</t>
  </si>
  <si>
    <t>3) All figures are presented in Rupee Corores</t>
  </si>
  <si>
    <t>Investment Growth Rate</t>
  </si>
  <si>
    <t>Repayments</t>
  </si>
  <si>
    <t>Comparable Company Valuation</t>
  </si>
  <si>
    <t>Unlevered Cash Flow</t>
  </si>
  <si>
    <t>Fiscal Year</t>
  </si>
  <si>
    <t>Operating Expenses</t>
  </si>
  <si>
    <t>NOPAT</t>
  </si>
  <si>
    <t>Less. Capex</t>
  </si>
  <si>
    <t>Less. Change in NWC</t>
  </si>
  <si>
    <t>Projection Year</t>
  </si>
  <si>
    <t>Sum Of PV Of FCFF</t>
  </si>
  <si>
    <t xml:space="preserve"> Comparable Valuation</t>
  </si>
  <si>
    <t>Market Capitalisation</t>
  </si>
  <si>
    <t>Infosys</t>
  </si>
  <si>
    <t>TCS</t>
  </si>
  <si>
    <t>HCL Technologies</t>
  </si>
  <si>
    <t>Wipro</t>
  </si>
  <si>
    <t>Tech Mahindra</t>
  </si>
  <si>
    <t>LTM</t>
  </si>
  <si>
    <t>Presistent System</t>
  </si>
  <si>
    <t>Football Field Analysis</t>
  </si>
  <si>
    <t>Comps</t>
  </si>
  <si>
    <t>DCF Bear</t>
  </si>
  <si>
    <t>DCF Base</t>
  </si>
  <si>
    <t>DCF Bull</t>
  </si>
  <si>
    <t>52W H/L</t>
  </si>
  <si>
    <t>OpenLow</t>
  </si>
  <si>
    <t>OpenHigh</t>
  </si>
  <si>
    <t xml:space="preserve"> Data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</si>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</sst>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[$₹-439]#,##0.00"/>
    <numFmt numFmtId="167" formatCode="#,##0.00_);\(#,##0.00\);\-"/>
    <numFmt numFmtId="168" formatCode="[$₹-439]#,##0.00;[$₹-439]\(#,##0.00\);\-"/>
    <numFmt numFmtId="169" formatCode="0.00&quot;x&quot;"/>
    <numFmt numFmtId="170" formatCode="0&quot; days&quot;"/>
    <numFmt numFmtId="171" formatCode="mmm\-yy&quot;A&quot;"/>
    <numFmt numFmtId="172" formatCode="mmm\-yy&quot;E&quot;"/>
    <numFmt numFmtId="173" formatCode="0.0&quot;x&quot;"/>
    <numFmt numFmtId="174" formatCode="[$₹-439]#,##0.00;[$₹-439]\-#,##0.00"/>
    <numFmt numFmtId="175" formatCode="yyyy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color theme="0"/>
      <name val="Calibri"/>
      <family val="2"/>
    </font>
    <font>
      <sz val="11"/>
      <color rgb="FF0000FF"/>
      <name val="Calibri"/>
      <family val="2"/>
      <scheme val="minor"/>
    </font>
    <font>
      <b/>
      <sz val="11"/>
      <color theme="1"/>
      <name val="Calibri"/>
      <family val="2"/>
    </font>
    <font>
      <i/>
      <sz val="10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rgb="FF0000FF"/>
      <name val="Calibri"/>
      <family val="2"/>
    </font>
    <font>
      <i/>
      <sz val="11"/>
      <color theme="0" tint="-0.249977111117893"/>
      <name val="Calibri"/>
      <family val="2"/>
      <scheme val="minor"/>
    </font>
    <font>
      <b/>
      <sz val="14"/>
      <color theme="0"/>
      <name val="Calibri"/>
      <family val="2"/>
    </font>
    <font>
      <sz val="11"/>
      <color rgb="FF00206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u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8">
    <xf numFmtId="0" fontId="0" fillId="0" borderId="0"/>
    <xf numFmtId="164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2" borderId="0" applyNumberFormat="0" applyBorder="0" applyAlignment="0" applyProtection="0"/>
    <xf numFmtId="9" fontId="7" fillId="0" borderId="0" applyFont="0" applyFill="0" applyBorder="0" applyAlignment="0" applyProtection="0"/>
    <xf numFmtId="0" fontId="13" fillId="7" borderId="0" applyNumberFormat="0" applyBorder="0" applyAlignment="0" applyProtection="0"/>
    <xf numFmtId="0" fontId="4" fillId="0" borderId="0"/>
    <xf numFmtId="9" fontId="4" fillId="0" borderId="0" applyFont="0" applyFill="0" applyBorder="0" applyAlignment="0" applyProtection="0"/>
  </cellStyleXfs>
  <cellXfs count="135">
    <xf numFmtId="0" fontId="0" fillId="0" borderId="0" xfId="0"/>
    <xf numFmtId="164" fontId="5" fillId="0" borderId="0" xfId="1" applyFont="1" applyBorder="1"/>
    <xf numFmtId="164" fontId="0" fillId="0" borderId="0" xfId="1" applyFont="1" applyBorder="1"/>
    <xf numFmtId="164" fontId="7" fillId="0" borderId="0" xfId="1" applyFont="1" applyBorder="1"/>
    <xf numFmtId="165" fontId="6" fillId="3" borderId="0" xfId="0" applyNumberFormat="1" applyFont="1" applyFill="1" applyAlignment="1">
      <alignment horizontal="center"/>
    </xf>
    <xf numFmtId="165" fontId="6" fillId="3" borderId="0" xfId="1" applyNumberFormat="1" applyFont="1" applyFill="1" applyBorder="1"/>
    <xf numFmtId="165" fontId="10" fillId="0" borderId="0" xfId="1" applyNumberFormat="1" applyFont="1" applyFill="1" applyBorder="1"/>
    <xf numFmtId="43" fontId="0" fillId="0" borderId="0" xfId="1" applyNumberFormat="1" applyFont="1" applyBorder="1"/>
    <xf numFmtId="0" fontId="11" fillId="4" borderId="0" xfId="0" applyFont="1" applyFill="1"/>
    <xf numFmtId="17" fontId="11" fillId="4" borderId="0" xfId="0" applyNumberFormat="1" applyFont="1" applyFill="1"/>
    <xf numFmtId="0" fontId="5" fillId="5" borderId="0" xfId="0" applyFont="1" applyFill="1"/>
    <xf numFmtId="0" fontId="0" fillId="5" borderId="0" xfId="0" applyFill="1"/>
    <xf numFmtId="166" fontId="0" fillId="0" borderId="0" xfId="0" applyNumberFormat="1"/>
    <xf numFmtId="10" fontId="0" fillId="0" borderId="0" xfId="4" applyNumberFormat="1" applyFont="1"/>
    <xf numFmtId="168" fontId="0" fillId="0" borderId="0" xfId="0" applyNumberFormat="1"/>
    <xf numFmtId="0" fontId="5" fillId="6" borderId="0" xfId="0" applyFont="1" applyFill="1"/>
    <xf numFmtId="0" fontId="0" fillId="6" borderId="0" xfId="0" applyFill="1"/>
    <xf numFmtId="0" fontId="5" fillId="0" borderId="0" xfId="0" applyFont="1"/>
    <xf numFmtId="168" fontId="5" fillId="0" borderId="0" xfId="0" applyNumberFormat="1" applyFont="1"/>
    <xf numFmtId="168" fontId="5" fillId="0" borderId="1" xfId="0" applyNumberFormat="1" applyFont="1" applyBorder="1"/>
    <xf numFmtId="0" fontId="13" fillId="7" borderId="0" xfId="5"/>
    <xf numFmtId="0" fontId="0" fillId="0" borderId="3" xfId="0" applyBorder="1"/>
    <xf numFmtId="10" fontId="0" fillId="0" borderId="3" xfId="4" applyNumberFormat="1" applyFont="1" applyBorder="1"/>
    <xf numFmtId="10" fontId="0" fillId="0" borderId="0" xfId="4" applyNumberFormat="1" applyFont="1" applyBorder="1"/>
    <xf numFmtId="0" fontId="0" fillId="0" borderId="4" xfId="0" applyBorder="1"/>
    <xf numFmtId="10" fontId="0" fillId="0" borderId="4" xfId="4" applyNumberFormat="1" applyFont="1" applyBorder="1"/>
    <xf numFmtId="169" fontId="0" fillId="0" borderId="4" xfId="4" applyNumberFormat="1" applyFont="1" applyBorder="1"/>
    <xf numFmtId="169" fontId="0" fillId="0" borderId="3" xfId="4" applyNumberFormat="1" applyFont="1" applyBorder="1"/>
    <xf numFmtId="169" fontId="0" fillId="0" borderId="0" xfId="4" applyNumberFormat="1" applyFont="1" applyBorder="1"/>
    <xf numFmtId="170" fontId="0" fillId="0" borderId="3" xfId="0" applyNumberFormat="1" applyBorder="1"/>
    <xf numFmtId="170" fontId="0" fillId="0" borderId="0" xfId="0" applyNumberFormat="1"/>
    <xf numFmtId="170" fontId="0" fillId="0" borderId="4" xfId="0" applyNumberFormat="1" applyBorder="1"/>
    <xf numFmtId="17" fontId="11" fillId="4" borderId="0" xfId="0" applyNumberFormat="1" applyFont="1" applyFill="1" applyAlignment="1">
      <alignment horizontal="center"/>
    </xf>
    <xf numFmtId="0" fontId="0" fillId="0" borderId="2" xfId="0" applyBorder="1"/>
    <xf numFmtId="10" fontId="0" fillId="0" borderId="2" xfId="4" applyNumberFormat="1" applyFont="1" applyBorder="1"/>
    <xf numFmtId="0" fontId="0" fillId="0" borderId="5" xfId="0" applyBorder="1"/>
    <xf numFmtId="10" fontId="0" fillId="0" borderId="5" xfId="4" applyNumberFormat="1" applyFont="1" applyBorder="1"/>
    <xf numFmtId="165" fontId="5" fillId="5" borderId="0" xfId="0" applyNumberFormat="1" applyFont="1" applyFill="1"/>
    <xf numFmtId="0" fontId="4" fillId="8" borderId="0" xfId="6" applyFill="1"/>
    <xf numFmtId="0" fontId="4" fillId="0" borderId="0" xfId="6"/>
    <xf numFmtId="0" fontId="16" fillId="0" borderId="0" xfId="6" applyFont="1"/>
    <xf numFmtId="0" fontId="15" fillId="0" borderId="0" xfId="6" applyFont="1"/>
    <xf numFmtId="0" fontId="4" fillId="0" borderId="2" xfId="6" applyBorder="1"/>
    <xf numFmtId="0" fontId="4" fillId="0" borderId="5" xfId="6" applyBorder="1"/>
    <xf numFmtId="10" fontId="4" fillId="0" borderId="0" xfId="6" applyNumberFormat="1"/>
    <xf numFmtId="10" fontId="18" fillId="0" borderId="0" xfId="7" applyNumberFormat="1" applyFont="1"/>
    <xf numFmtId="0" fontId="15" fillId="0" borderId="1" xfId="6" applyFont="1" applyBorder="1" applyAlignment="1">
      <alignment horizontal="right"/>
    </xf>
    <xf numFmtId="0" fontId="4" fillId="0" borderId="1" xfId="6" applyBorder="1"/>
    <xf numFmtId="0" fontId="20" fillId="4" borderId="0" xfId="6" applyFont="1" applyFill="1"/>
    <xf numFmtId="0" fontId="13" fillId="4" borderId="0" xfId="6" applyFont="1" applyFill="1"/>
    <xf numFmtId="10" fontId="5" fillId="0" borderId="1" xfId="4" applyNumberFormat="1" applyFont="1" applyBorder="1"/>
    <xf numFmtId="10" fontId="0" fillId="0" borderId="0" xfId="0" applyNumberFormat="1"/>
    <xf numFmtId="0" fontId="5" fillId="0" borderId="1" xfId="0" applyFont="1" applyBorder="1"/>
    <xf numFmtId="171" fontId="0" fillId="5" borderId="0" xfId="0" applyNumberFormat="1" applyFill="1"/>
    <xf numFmtId="0" fontId="22" fillId="0" borderId="0" xfId="0" applyFont="1"/>
    <xf numFmtId="0" fontId="21" fillId="9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171" fontId="0" fillId="5" borderId="0" xfId="0" applyNumberFormat="1" applyFill="1" applyAlignment="1">
      <alignment horizontal="center"/>
    </xf>
    <xf numFmtId="172" fontId="0" fillId="5" borderId="0" xfId="0" applyNumberFormat="1" applyFill="1" applyAlignment="1">
      <alignment horizontal="center"/>
    </xf>
    <xf numFmtId="174" fontId="0" fillId="0" borderId="0" xfId="0" applyNumberFormat="1"/>
    <xf numFmtId="0" fontId="0" fillId="0" borderId="1" xfId="0" applyBorder="1" applyAlignment="1">
      <alignment horizontal="left"/>
    </xf>
    <xf numFmtId="168" fontId="0" fillId="0" borderId="1" xfId="0" applyNumberFormat="1" applyBorder="1"/>
    <xf numFmtId="2" fontId="0" fillId="0" borderId="1" xfId="0" applyNumberFormat="1" applyBorder="1"/>
    <xf numFmtId="173" fontId="0" fillId="0" borderId="1" xfId="0" applyNumberFormat="1" applyBorder="1"/>
    <xf numFmtId="0" fontId="0" fillId="0" borderId="1" xfId="0" applyBorder="1"/>
    <xf numFmtId="174" fontId="0" fillId="0" borderId="1" xfId="0" applyNumberFormat="1" applyBorder="1"/>
    <xf numFmtId="0" fontId="0" fillId="10" borderId="1" xfId="0" applyFill="1" applyBorder="1" applyAlignment="1">
      <alignment horizontal="left"/>
    </xf>
    <xf numFmtId="168" fontId="0" fillId="10" borderId="1" xfId="0" applyNumberFormat="1" applyFill="1" applyBorder="1"/>
    <xf numFmtId="2" fontId="0" fillId="10" borderId="1" xfId="0" applyNumberFormat="1" applyFill="1" applyBorder="1"/>
    <xf numFmtId="173" fontId="0" fillId="10" borderId="1" xfId="0" applyNumberFormat="1" applyFill="1" applyBorder="1"/>
    <xf numFmtId="0" fontId="0" fillId="10" borderId="1" xfId="0" applyFill="1" applyBorder="1"/>
    <xf numFmtId="0" fontId="5" fillId="10" borderId="1" xfId="0" applyFont="1" applyFill="1" applyBorder="1"/>
    <xf numFmtId="173" fontId="5" fillId="10" borderId="1" xfId="0" applyNumberFormat="1" applyFont="1" applyFill="1" applyBorder="1"/>
    <xf numFmtId="0" fontId="23" fillId="0" borderId="0" xfId="0" applyFont="1"/>
    <xf numFmtId="0" fontId="24" fillId="0" borderId="0" xfId="0" applyFont="1"/>
    <xf numFmtId="174" fontId="5" fillId="0" borderId="1" xfId="0" applyNumberFormat="1" applyFont="1" applyBorder="1"/>
    <xf numFmtId="1" fontId="0" fillId="0" borderId="0" xfId="0" applyNumberFormat="1"/>
    <xf numFmtId="10" fontId="5" fillId="0" borderId="6" xfId="4" applyNumberFormat="1" applyFont="1" applyBorder="1"/>
    <xf numFmtId="10" fontId="5" fillId="0" borderId="7" xfId="4" applyNumberFormat="1" applyFont="1" applyBorder="1"/>
    <xf numFmtId="168" fontId="0" fillId="0" borderId="6" xfId="0" applyNumberFormat="1" applyBorder="1"/>
    <xf numFmtId="168" fontId="0" fillId="0" borderId="7" xfId="0" applyNumberFormat="1" applyBorder="1"/>
    <xf numFmtId="168" fontId="0" fillId="5" borderId="6" xfId="0" applyNumberFormat="1" applyFill="1" applyBorder="1"/>
    <xf numFmtId="168" fontId="9" fillId="0" borderId="8" xfId="0" applyNumberFormat="1" applyFont="1" applyBorder="1"/>
    <xf numFmtId="10" fontId="5" fillId="0" borderId="8" xfId="0" applyNumberFormat="1" applyFont="1" applyBorder="1"/>
    <xf numFmtId="10" fontId="14" fillId="0" borderId="1" xfId="4" applyNumberFormat="1" applyFont="1" applyBorder="1"/>
    <xf numFmtId="0" fontId="2" fillId="0" borderId="1" xfId="6" applyFont="1" applyBorder="1"/>
    <xf numFmtId="166" fontId="4" fillId="0" borderId="1" xfId="6" applyNumberFormat="1" applyBorder="1"/>
    <xf numFmtId="10" fontId="4" fillId="0" borderId="1" xfId="4" applyNumberFormat="1" applyFont="1" applyBorder="1"/>
    <xf numFmtId="2" fontId="4" fillId="0" borderId="1" xfId="6" applyNumberFormat="1" applyBorder="1"/>
    <xf numFmtId="2" fontId="4" fillId="9" borderId="1" xfId="4" applyNumberFormat="1" applyFont="1" applyFill="1" applyBorder="1"/>
    <xf numFmtId="166" fontId="3" fillId="0" borderId="1" xfId="6" applyNumberFormat="1" applyFont="1" applyBorder="1"/>
    <xf numFmtId="0" fontId="15" fillId="0" borderId="1" xfId="6" applyFont="1" applyBorder="1"/>
    <xf numFmtId="10" fontId="4" fillId="0" borderId="1" xfId="6" applyNumberFormat="1" applyBorder="1"/>
    <xf numFmtId="10" fontId="15" fillId="0" borderId="1" xfId="6" applyNumberFormat="1" applyFont="1" applyBorder="1"/>
    <xf numFmtId="10" fontId="18" fillId="0" borderId="1" xfId="6" applyNumberFormat="1" applyFont="1" applyBorder="1"/>
    <xf numFmtId="10" fontId="18" fillId="0" borderId="1" xfId="7" applyNumberFormat="1" applyFont="1" applyBorder="1"/>
    <xf numFmtId="10" fontId="0" fillId="0" borderId="1" xfId="7" applyNumberFormat="1" applyFont="1" applyBorder="1"/>
    <xf numFmtId="10" fontId="4" fillId="0" borderId="1" xfId="7" applyNumberFormat="1" applyFont="1" applyBorder="1"/>
    <xf numFmtId="10" fontId="5" fillId="9" borderId="1" xfId="7" applyNumberFormat="1" applyFont="1" applyFill="1" applyBorder="1"/>
    <xf numFmtId="10" fontId="0" fillId="0" borderId="1" xfId="4" applyNumberFormat="1" applyFont="1" applyBorder="1"/>
    <xf numFmtId="0" fontId="12" fillId="0" borderId="1" xfId="0" applyFont="1" applyBorder="1"/>
    <xf numFmtId="167" fontId="12" fillId="0" borderId="1" xfId="0" applyNumberFormat="1" applyFont="1" applyBorder="1"/>
    <xf numFmtId="10" fontId="12" fillId="0" borderId="1" xfId="4" applyNumberFormat="1" applyFont="1" applyBorder="1"/>
    <xf numFmtId="0" fontId="19" fillId="0" borderId="1" xfId="0" applyFont="1" applyBorder="1"/>
    <xf numFmtId="1" fontId="0" fillId="0" borderId="1" xfId="0" applyNumberFormat="1" applyBorder="1"/>
    <xf numFmtId="1" fontId="14" fillId="0" borderId="1" xfId="0" applyNumberFormat="1" applyFont="1" applyBorder="1"/>
    <xf numFmtId="168" fontId="0" fillId="0" borderId="1" xfId="4" applyNumberFormat="1" applyFont="1" applyBorder="1"/>
    <xf numFmtId="2" fontId="14" fillId="0" borderId="1" xfId="4" applyNumberFormat="1" applyFont="1" applyBorder="1"/>
    <xf numFmtId="168" fontId="14" fillId="0" borderId="1" xfId="0" applyNumberFormat="1" applyFont="1" applyBorder="1"/>
    <xf numFmtId="175" fontId="14" fillId="0" borderId="0" xfId="0" applyNumberFormat="1" applyFont="1"/>
    <xf numFmtId="0" fontId="14" fillId="0" borderId="1" xfId="0" applyFont="1" applyBorder="1"/>
    <xf numFmtId="10" fontId="15" fillId="9" borderId="1" xfId="6" applyNumberFormat="1" applyFont="1" applyFill="1" applyBorder="1"/>
    <xf numFmtId="2" fontId="5" fillId="9" borderId="1" xfId="7" applyNumberFormat="1" applyFont="1" applyFill="1" applyBorder="1"/>
    <xf numFmtId="2" fontId="0" fillId="0" borderId="0" xfId="0" applyNumberFormat="1"/>
    <xf numFmtId="174" fontId="5" fillId="0" borderId="0" xfId="0" applyNumberFormat="1" applyFont="1"/>
    <xf numFmtId="0" fontId="1" fillId="0" borderId="1" xfId="6" applyFont="1" applyBorder="1"/>
    <xf numFmtId="0" fontId="1" fillId="0" borderId="5" xfId="6" applyFont="1" applyBorder="1"/>
    <xf numFmtId="2" fontId="15" fillId="9" borderId="1" xfId="6" applyNumberFormat="1" applyFont="1" applyFill="1" applyBorder="1"/>
    <xf numFmtId="2" fontId="18" fillId="0" borderId="1" xfId="6" applyNumberFormat="1" applyFont="1" applyBorder="1"/>
    <xf numFmtId="10" fontId="18" fillId="0" borderId="1" xfId="4" applyNumberFormat="1" applyFont="1" applyBorder="1"/>
    <xf numFmtId="0" fontId="0" fillId="0" borderId="6" xfId="0" applyBorder="1"/>
    <xf numFmtId="0" fontId="9" fillId="8" borderId="0" xfId="0" applyFont="1" applyFill="1" applyAlignment="1">
      <alignment horizontal="center"/>
    </xf>
    <xf numFmtId="0" fontId="5" fillId="5" borderId="1" xfId="0" applyFont="1" applyFill="1" applyBorder="1"/>
    <xf numFmtId="0" fontId="0" fillId="5" borderId="1" xfId="0" applyFill="1" applyBorder="1"/>
    <xf numFmtId="174" fontId="5" fillId="5" borderId="1" xfId="0" applyNumberFormat="1" applyFont="1" applyFill="1" applyBorder="1"/>
    <xf numFmtId="174" fontId="0" fillId="5" borderId="1" xfId="0" applyNumberFormat="1" applyFill="1" applyBorder="1"/>
    <xf numFmtId="10" fontId="0" fillId="5" borderId="1" xfId="0" applyNumberFormat="1" applyFill="1" applyBorder="1"/>
    <xf numFmtId="10" fontId="0" fillId="0" borderId="1" xfId="0" applyNumberFormat="1" applyBorder="1"/>
    <xf numFmtId="0" fontId="11" fillId="9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21" fillId="9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4" borderId="5" xfId="0" applyFont="1" applyFill="1" applyBorder="1" applyAlignment="1">
      <alignment horizontal="center"/>
    </xf>
    <xf numFmtId="164" fontId="8" fillId="0" borderId="0" xfId="2" applyNumberFormat="1" applyBorder="1" applyAlignment="1" applyProtection="1">
      <alignment horizontal="center"/>
    </xf>
    <xf numFmtId="164" fontId="6" fillId="2" borderId="0" xfId="3" applyNumberFormat="1" applyFont="1" applyBorder="1" applyAlignment="1">
      <alignment horizontal="center"/>
    </xf>
  </cellXfs>
  <cellStyles count="8">
    <cellStyle name="Accent4" xfId="5" builtinId="41"/>
    <cellStyle name="Accent6" xfId="3" builtinId="49"/>
    <cellStyle name="Comma" xfId="1" builtinId="3"/>
    <cellStyle name="Hyperlink" xfId="2" builtinId="8"/>
    <cellStyle name="Normal" xfId="0" builtinId="0"/>
    <cellStyle name="Normal 2" xfId="6" xr:uid="{898BB805-5EF3-4CFC-8361-DF8DB18C3A31}"/>
    <cellStyle name="Percent" xfId="4" builtinId="5"/>
    <cellStyle name="Percent 2" xfId="7" xr:uid="{D4F61D3E-D0DA-4477-9E8A-8CCF6CA975F6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&amp; Gross Profit Margins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 Statement Model'!$B$116</c:f>
              <c:strCache>
                <c:ptCount val="1"/>
                <c:pt idx="0">
                  <c:v>Revenue (Sales)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 Statement Model'!$C$115:$L$115</c:f>
              <c:numCache>
                <c:formatCode>yyyy</c:formatCode>
                <c:ptCount val="10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  <c:pt idx="5">
                  <c:v>46477</c:v>
                </c:pt>
                <c:pt idx="6">
                  <c:v>46842</c:v>
                </c:pt>
                <c:pt idx="7">
                  <c:v>47207</c:v>
                </c:pt>
                <c:pt idx="8">
                  <c:v>47572</c:v>
                </c:pt>
                <c:pt idx="9">
                  <c:v>47937</c:v>
                </c:pt>
              </c:numCache>
            </c:numRef>
          </c:cat>
          <c:val>
            <c:numRef>
              <c:f>'3 Statement Model'!$C$116:$L$116</c:f>
              <c:numCache>
                <c:formatCode>[$₹-439]#,##0.00;[$₹-439]\-#,##0.00</c:formatCode>
                <c:ptCount val="10"/>
                <c:pt idx="0">
                  <c:v>121641</c:v>
                </c:pt>
                <c:pt idx="1">
                  <c:v>146767</c:v>
                </c:pt>
                <c:pt idx="2">
                  <c:v>153670</c:v>
                </c:pt>
                <c:pt idx="3">
                  <c:v>162990</c:v>
                </c:pt>
                <c:pt idx="4">
                  <c:v>178650</c:v>
                </c:pt>
                <c:pt idx="5">
                  <c:v>197586.90000000002</c:v>
                </c:pt>
                <c:pt idx="6">
                  <c:v>218531.11140000005</c:v>
                </c:pt>
                <c:pt idx="7">
                  <c:v>241695.40920840009</c:v>
                </c:pt>
                <c:pt idx="8">
                  <c:v>267315.12258449051</c:v>
                </c:pt>
                <c:pt idx="9">
                  <c:v>295650.52557844651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66-494C-B9BC-F45BEEBAE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96908104"/>
        <c:axId val="596908464"/>
      </c:barChart>
      <c:lineChart>
        <c:grouping val="standard"/>
        <c:varyColors val="0"/>
        <c:ser>
          <c:idx val="1"/>
          <c:order val="1"/>
          <c:tx>
            <c:strRef>
              <c:f>'3 Statement Model'!$B$117</c:f>
              <c:strCache>
                <c:ptCount val="1"/>
                <c:pt idx="0">
                  <c:v>Gross Profit Margins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 Statement Model'!$C$115:$L$115</c:f>
              <c:numCache>
                <c:formatCode>yyyy</c:formatCode>
                <c:ptCount val="10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  <c:pt idx="5">
                  <c:v>46477</c:v>
                </c:pt>
                <c:pt idx="6">
                  <c:v>46842</c:v>
                </c:pt>
                <c:pt idx="7">
                  <c:v>47207</c:v>
                </c:pt>
                <c:pt idx="8">
                  <c:v>47572</c:v>
                </c:pt>
                <c:pt idx="9">
                  <c:v>47937</c:v>
                </c:pt>
              </c:numCache>
            </c:numRef>
          </c:cat>
          <c:val>
            <c:numRef>
              <c:f>'3 Statement Model'!$C$117:$L$117</c:f>
              <c:numCache>
                <c:formatCode>0.00%</c:formatCode>
                <c:ptCount val="10"/>
                <c:pt idx="0">
                  <c:v>0.30271043480405457</c:v>
                </c:pt>
                <c:pt idx="1">
                  <c:v>0.28539794367943749</c:v>
                </c:pt>
                <c:pt idx="2">
                  <c:v>0.28398516301164833</c:v>
                </c:pt>
                <c:pt idx="3">
                  <c:v>0.2847107184489846</c:v>
                </c:pt>
                <c:pt idx="4">
                  <c:v>0.28207668625804644</c:v>
                </c:pt>
                <c:pt idx="5">
                  <c:v>0.2878</c:v>
                </c:pt>
                <c:pt idx="6">
                  <c:v>0.28779999999999994</c:v>
                </c:pt>
                <c:pt idx="7">
                  <c:v>0.2878</c:v>
                </c:pt>
                <c:pt idx="8">
                  <c:v>0.28779999999999994</c:v>
                </c:pt>
                <c:pt idx="9">
                  <c:v>0.28779999999999994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66-494C-B9BC-F45BEEBAE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3280208"/>
        <c:axId val="603278768"/>
      </c:lineChart>
      <c:dateAx>
        <c:axId val="596908104"/>
        <c:scaling>
          <c:orientation val="minMax"/>
        </c:scaling>
        <c:delete val="0"/>
        <c:axPos val="b"/>
        <c:numFmt formatCode="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908464"/>
        <c:crosses val="autoZero"/>
        <c:auto val="1"/>
        <c:lblOffset val="100"/>
        <c:baseTimeUnit val="years"/>
      </c:dateAx>
      <c:valAx>
        <c:axId val="59690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;[$₹-439]\-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908104"/>
        <c:crosses val="autoZero"/>
        <c:crossBetween val="between"/>
      </c:valAx>
      <c:valAx>
        <c:axId val="60327876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280208"/>
        <c:crosses val="max"/>
        <c:crossBetween val="between"/>
      </c:valAx>
      <c:dateAx>
        <c:axId val="603280208"/>
        <c:scaling>
          <c:orientation val="minMax"/>
        </c:scaling>
        <c:delete val="1"/>
        <c:axPos val="b"/>
        <c:numFmt formatCode="yyyy" sourceLinked="1"/>
        <c:majorTickMark val="out"/>
        <c:minorTickMark val="none"/>
        <c:tickLblPos val="nextTo"/>
        <c:crossAx val="603278768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</a:t>
            </a:r>
            <a:r>
              <a:rPr lang="en-US" baseline="0"/>
              <a:t> Flows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 Statement Model'!$B$120</c:f>
              <c:strCache>
                <c:ptCount val="1"/>
                <c:pt idx="0">
                  <c:v>Cash From Operating Activites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 Statement Model'!$C$119:$L$119</c:f>
              <c:numCache>
                <c:formatCode>yyyy</c:formatCode>
                <c:ptCount val="10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  <c:pt idx="5">
                  <c:v>46477</c:v>
                </c:pt>
                <c:pt idx="6">
                  <c:v>46842</c:v>
                </c:pt>
                <c:pt idx="7">
                  <c:v>47207</c:v>
                </c:pt>
                <c:pt idx="8">
                  <c:v>47572</c:v>
                </c:pt>
                <c:pt idx="9">
                  <c:v>47937</c:v>
                </c:pt>
              </c:numCache>
            </c:numRef>
          </c:cat>
          <c:val>
            <c:numRef>
              <c:f>'3 Statement Model'!$C$120:$L$120</c:f>
              <c:numCache>
                <c:formatCode>[$₹-439]#,##0.00;[$₹-439]\(#,##0.00\);\-</c:formatCode>
                <c:ptCount val="10"/>
                <c:pt idx="0">
                  <c:v>23885</c:v>
                </c:pt>
                <c:pt idx="1">
                  <c:v>22467</c:v>
                </c:pt>
                <c:pt idx="2">
                  <c:v>25210</c:v>
                </c:pt>
                <c:pt idx="3">
                  <c:v>35694</c:v>
                </c:pt>
                <c:pt idx="4">
                  <c:v>33986</c:v>
                </c:pt>
                <c:pt idx="5">
                  <c:v>37929.949251095015</c:v>
                </c:pt>
                <c:pt idx="6">
                  <c:v>40183.882425000396</c:v>
                </c:pt>
                <c:pt idx="7">
                  <c:v>44420.837711819608</c:v>
                </c:pt>
                <c:pt idx="8">
                  <c:v>49110.234355950699</c:v>
                </c:pt>
                <c:pt idx="9">
                  <c:v>54299.540836974651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B9-423B-9665-2FF71AC77C1F}"/>
            </c:ext>
          </c:extLst>
        </c:ser>
        <c:ser>
          <c:idx val="1"/>
          <c:order val="1"/>
          <c:tx>
            <c:strRef>
              <c:f>'3 Statement Model'!$B$121</c:f>
              <c:strCache>
                <c:ptCount val="1"/>
                <c:pt idx="0">
                  <c:v>Cash From Investing Activites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 Statement Model'!$C$119:$L$119</c:f>
              <c:numCache>
                <c:formatCode>yyyy</c:formatCode>
                <c:ptCount val="10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  <c:pt idx="5">
                  <c:v>46477</c:v>
                </c:pt>
                <c:pt idx="6">
                  <c:v>46842</c:v>
                </c:pt>
                <c:pt idx="7">
                  <c:v>47207</c:v>
                </c:pt>
                <c:pt idx="8">
                  <c:v>47572</c:v>
                </c:pt>
                <c:pt idx="9">
                  <c:v>47937</c:v>
                </c:pt>
              </c:numCache>
            </c:numRef>
          </c:cat>
          <c:val>
            <c:numRef>
              <c:f>'3 Statement Model'!$C$121:$L$121</c:f>
              <c:numCache>
                <c:formatCode>[$₹-439]#,##0.00;[$₹-439]\(#,##0.00\);\-</c:formatCode>
                <c:ptCount val="10"/>
                <c:pt idx="0">
                  <c:v>-6485</c:v>
                </c:pt>
                <c:pt idx="1">
                  <c:v>-1071</c:v>
                </c:pt>
                <c:pt idx="2">
                  <c:v>-5093</c:v>
                </c:pt>
                <c:pt idx="3">
                  <c:v>-1864</c:v>
                </c:pt>
                <c:pt idx="4">
                  <c:v>3546</c:v>
                </c:pt>
                <c:pt idx="5">
                  <c:v>-17790.946</c:v>
                </c:pt>
                <c:pt idx="6">
                  <c:v>-20855.478276000002</c:v>
                </c:pt>
                <c:pt idx="7">
                  <c:v>-24445.161731376003</c:v>
                </c:pt>
                <c:pt idx="8">
                  <c:v>-28742.252083998697</c:v>
                </c:pt>
                <c:pt idx="9">
                  <c:v>-33897.184273749364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B9-423B-9665-2FF71AC77C1F}"/>
            </c:ext>
          </c:extLst>
        </c:ser>
        <c:ser>
          <c:idx val="2"/>
          <c:order val="2"/>
          <c:tx>
            <c:strRef>
              <c:f>'3 Statement Model'!$B$122</c:f>
              <c:strCache>
                <c:ptCount val="1"/>
                <c:pt idx="0">
                  <c:v>Cash From Financing Activites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'3 Statement Model'!$C$119:$L$119</c:f>
              <c:numCache>
                <c:formatCode>yyyy</c:formatCode>
                <c:ptCount val="10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  <c:pt idx="5">
                  <c:v>46477</c:v>
                </c:pt>
                <c:pt idx="6">
                  <c:v>46842</c:v>
                </c:pt>
                <c:pt idx="7">
                  <c:v>47207</c:v>
                </c:pt>
                <c:pt idx="8">
                  <c:v>47572</c:v>
                </c:pt>
                <c:pt idx="9">
                  <c:v>47937</c:v>
                </c:pt>
              </c:numCache>
            </c:numRef>
          </c:cat>
          <c:val>
            <c:numRef>
              <c:f>'3 Statement Model'!$C$122:$L$122</c:f>
              <c:numCache>
                <c:formatCode>[$₹-439]#,##0.00;[$₹-439]\(#,##0.00\);\-</c:formatCode>
                <c:ptCount val="10"/>
                <c:pt idx="0">
                  <c:v>-24642</c:v>
                </c:pt>
                <c:pt idx="1">
                  <c:v>-26695</c:v>
                </c:pt>
                <c:pt idx="2">
                  <c:v>-17504</c:v>
                </c:pt>
                <c:pt idx="3">
                  <c:v>-24161</c:v>
                </c:pt>
                <c:pt idx="4">
                  <c:v>-39786</c:v>
                </c:pt>
                <c:pt idx="5">
                  <c:v>8806.9584257836614</c:v>
                </c:pt>
                <c:pt idx="6">
                  <c:v>12234.613600108922</c:v>
                </c:pt>
                <c:pt idx="7">
                  <c:v>16727.903182554091</c:v>
                </c:pt>
                <c:pt idx="8">
                  <c:v>22591.69367783346</c:v>
                </c:pt>
                <c:pt idx="9">
                  <c:v>30219.568375013994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B9-423B-9665-2FF71AC77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3689832"/>
        <c:axId val="593690192"/>
      </c:lineChart>
      <c:dateAx>
        <c:axId val="59368983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690192"/>
        <c:crosses val="autoZero"/>
        <c:auto val="1"/>
        <c:lblOffset val="100"/>
        <c:baseTimeUnit val="years"/>
      </c:dateAx>
      <c:valAx>
        <c:axId val="59369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;[$₹-439]\(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689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bg1"/>
                </a:solidFill>
              </a:rPr>
              <a:t> Valuation Summary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solidFill>
          <a:schemeClr val="accent4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4560367454068"/>
          <c:y val="0.17171296296296298"/>
          <c:w val="0.82698840769903759"/>
          <c:h val="0.72088764946048411"/>
        </c:manualLayout>
      </c:layout>
      <c:stockChart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 Anaylsis'!$K$6:$K$10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Anaylsis'!$L$6:$L$10</c:f>
              <c:numCache>
                <c:formatCode>[$₹-439]#,##0.00;[$₹-439]\(#,##0.00\);\-</c:formatCode>
                <c:ptCount val="5"/>
                <c:pt idx="0">
                  <c:v>1204.1597859307456</c:v>
                </c:pt>
                <c:pt idx="1">
                  <c:v>1020.3736991169262</c:v>
                </c:pt>
                <c:pt idx="2">
                  <c:v>1072.0236601825472</c:v>
                </c:pt>
                <c:pt idx="3">
                  <c:v>1199.0217997438981</c:v>
                </c:pt>
                <c:pt idx="4">
                  <c:v>982.4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2F-4E43-9A27-9ED4229E5743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numFmt formatCode="[$₹-43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Anaylsis'!$K$6:$K$10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Anaylsis'!$M$6:$M$10</c:f>
              <c:numCache>
                <c:formatCode>[$₹-439]#,##0.00;[$₹-439]\(#,##0.00\);\-</c:formatCode>
                <c:ptCount val="5"/>
                <c:pt idx="0">
                  <c:v>1204.1597859307456</c:v>
                </c:pt>
                <c:pt idx="1">
                  <c:v>1020.3736991169262</c:v>
                </c:pt>
                <c:pt idx="2">
                  <c:v>1072.0236601825472</c:v>
                </c:pt>
                <c:pt idx="3">
                  <c:v>1199.0217997438981</c:v>
                </c:pt>
                <c:pt idx="4">
                  <c:v>982.4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2F-4E43-9A27-9ED4229E5743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 Anaylsis'!$K$6:$K$10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Anaylsis'!$N$6:$N$10</c:f>
              <c:numCache>
                <c:formatCode>[$₹-439]#,##0.00;[$₹-439]\(#,##0.00\);\-</c:formatCode>
                <c:ptCount val="5"/>
                <c:pt idx="0">
                  <c:v>1436.8456876599969</c:v>
                </c:pt>
                <c:pt idx="1">
                  <c:v>1552.7529612957521</c:v>
                </c:pt>
                <c:pt idx="2">
                  <c:v>1722.3734083663705</c:v>
                </c:pt>
                <c:pt idx="3">
                  <c:v>2239.7870410271635</c:v>
                </c:pt>
                <c:pt idx="4">
                  <c:v>1728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2F-4E43-9A27-9ED4229E5743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numFmt formatCode="[$₹-43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Anaylsis'!$K$6:$K$10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Anaylsis'!$O$6:$O$10</c:f>
              <c:numCache>
                <c:formatCode>[$₹-439]#,##0.00;[$₹-439]\(#,##0.00\);\-</c:formatCode>
                <c:ptCount val="5"/>
                <c:pt idx="0">
                  <c:v>1436.8456876599969</c:v>
                </c:pt>
                <c:pt idx="1">
                  <c:v>1552.7529612957521</c:v>
                </c:pt>
                <c:pt idx="2">
                  <c:v>1722.3734083663705</c:v>
                </c:pt>
                <c:pt idx="3">
                  <c:v>2239.7870410271635</c:v>
                </c:pt>
                <c:pt idx="4">
                  <c:v>1728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2F-4E43-9A27-9ED4229E5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accent4">
                  <a:lumMod val="7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595808216"/>
        <c:axId val="595802816"/>
      </c:stockChart>
      <c:catAx>
        <c:axId val="595808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802816"/>
        <c:crosses val="autoZero"/>
        <c:auto val="1"/>
        <c:lblAlgn val="ctr"/>
        <c:lblOffset val="100"/>
        <c:noMultiLvlLbl val="0"/>
      </c:catAx>
      <c:valAx>
        <c:axId val="595802816"/>
        <c:scaling>
          <c:orientation val="minMax"/>
        </c:scaling>
        <c:delete val="0"/>
        <c:axPos val="l"/>
        <c:numFmt formatCode="[$₹-439]#,##0.00;[$₹-439]\(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80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122</xdr:row>
      <xdr:rowOff>180975</xdr:rowOff>
    </xdr:from>
    <xdr:to>
      <xdr:col>5</xdr:col>
      <xdr:colOff>76200</xdr:colOff>
      <xdr:row>137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5C9C71-89C6-31E8-F714-7C59D7483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457200</xdr:colOff>
      <xdr:row>122</xdr:row>
      <xdr:rowOff>171450</xdr:rowOff>
    </xdr:from>
    <xdr:to>
      <xdr:col>12</xdr:col>
      <xdr:colOff>0</xdr:colOff>
      <xdr:row>137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3778E0-1F00-A164-12AB-4C7918787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142875</xdr:rowOff>
    </xdr:from>
    <xdr:to>
      <xdr:col>8</xdr:col>
      <xdr:colOff>381000</xdr:colOff>
      <xdr:row>17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F7D515-AF0C-FC64-55BA-144E1A17B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95250</xdr:colOff>
      <xdr:row>10</xdr:row>
      <xdr:rowOff>171450</xdr:rowOff>
    </xdr:from>
    <xdr:to>
      <xdr:col>8</xdr:col>
      <xdr:colOff>219075</xdr:colOff>
      <xdr:row>10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3793631-E704-8E97-2E48-6D2220540C71}"/>
            </a:ext>
          </a:extLst>
        </xdr:cNvPr>
        <xdr:cNvCxnSpPr/>
      </xdr:nvCxnSpPr>
      <xdr:spPr>
        <a:xfrm>
          <a:off x="838200" y="2076450"/>
          <a:ext cx="3781425" cy="9525"/>
        </a:xfrm>
        <a:prstGeom prst="line">
          <a:avLst/>
        </a:prstGeom>
        <a:ln w="12700">
          <a:solidFill>
            <a:schemeClr val="accent3">
              <a:lumMod val="60000"/>
              <a:lumOff val="40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21167</xdr:colOff>
      <xdr:row>68</xdr:row>
      <xdr:rowOff>21168</xdr:rowOff>
    </xdr:from>
    <xdr:to>
      <xdr:col>7</xdr:col>
      <xdr:colOff>603250</xdr:colOff>
      <xdr:row>73</xdr:row>
      <xdr:rowOff>10583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96C8B9-1168-702D-8DCF-F828F1A5086D}"/>
            </a:ext>
          </a:extLst>
        </xdr:cNvPr>
        <xdr:cNvSpPr txBox="1"/>
      </xdr:nvSpPr>
      <xdr:spPr>
        <a:xfrm>
          <a:off x="158750" y="12594168"/>
          <a:ext cx="7133167" cy="9419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 Financial</a:t>
          </a:r>
          <a:r>
            <a:rPr lang="en-US" sz="1100" baseline="0"/>
            <a:t> data is sourced from the </a:t>
          </a:r>
          <a:r>
            <a:rPr lang="en-US" sz="1100" u="sng" baseline="0"/>
            <a:t>Screener.in.</a:t>
          </a:r>
        </a:p>
        <a:p>
          <a:r>
            <a:rPr lang="en-US" sz="1100" baseline="0"/>
            <a:t>2) Minor differences may exist due to rounding of reported figures.</a:t>
          </a:r>
        </a:p>
        <a:p>
          <a:r>
            <a:rPr lang="en-US" sz="1100" baseline="0"/>
            <a:t>3) All figures are presented in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</a:t>
          </a:r>
          <a:r>
            <a:rPr lang="en-US" sz="1100" baseline="0"/>
            <a:t> </a:t>
          </a:r>
          <a:r>
            <a:rPr lang="en-US" sz="1100" b="1" baseline="0"/>
            <a:t>Rupee Corores</a:t>
          </a:r>
          <a:r>
            <a:rPr lang="en-US" sz="1100" baseline="0"/>
            <a:t>.</a:t>
          </a:r>
          <a:endParaRPr lang="en-US" sz="1100"/>
        </a:p>
      </xdr:txBody>
    </xdr: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835C4-3C22-4CF7-A21A-758D6F34B98A}">
  <sheetPr>
    <tabColor rgb="FF002060"/>
  </sheetPr>
  <dimension ref="A1"/>
  <sheetViews>
    <sheetView workbookViewId="0">
      <selection activeCell="J1" sqref="J1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DAB87-9DEC-4A78-BA17-4E2E1F092DEF}">
  <sheetPr>
    <pageSetUpPr fitToPage="1"/>
  </sheetPr>
  <dimension ref="A2:X122"/>
  <sheetViews>
    <sheetView showGridLines="0" zoomScaleNormal="100" workbookViewId="0">
      <pane xSplit="1" ySplit="3" topLeftCell="B117" activePane="bottomRight" state="frozen"/>
      <selection pane="topRight" activeCell="B1" sqref="B1"/>
      <selection pane="bottomLeft" activeCell="A4" sqref="A4"/>
      <selection pane="bottomRight" activeCell="G44" sqref="G44"/>
    </sheetView>
  </sheetViews>
  <sheetFormatPr defaultRowHeight="15" x14ac:dyDescent="0.25"/>
  <cols>
    <col min="1" max="1" width="2" customWidth="1"/>
    <col min="2" max="2" width="37.28515625" bestFit="1" customWidth="1"/>
    <col min="3" max="7" width="11.7109375" bestFit="1" customWidth="1"/>
    <col min="8" max="12" width="12" bestFit="1" customWidth="1"/>
    <col min="14" max="14" width="10.140625" bestFit="1" customWidth="1"/>
  </cols>
  <sheetData>
    <row r="2" spans="1:18" x14ac:dyDescent="0.25">
      <c r="B2" s="128"/>
      <c r="C2" s="129" t="s">
        <v>183</v>
      </c>
      <c r="D2" s="129"/>
      <c r="E2" s="129"/>
      <c r="F2" s="129"/>
      <c r="G2" s="129"/>
      <c r="H2" s="130" t="s">
        <v>184</v>
      </c>
      <c r="I2" s="130"/>
      <c r="J2" s="130"/>
      <c r="K2" s="130"/>
      <c r="L2" s="130"/>
    </row>
    <row r="3" spans="1:18" x14ac:dyDescent="0.25">
      <c r="B3" s="128"/>
      <c r="C3" s="9">
        <f>'Historical FS'!H3</f>
        <v>44651</v>
      </c>
      <c r="D3" s="9">
        <f>'Historical FS'!I3</f>
        <v>45016</v>
      </c>
      <c r="E3" s="9">
        <f>'Historical FS'!J3</f>
        <v>45382</v>
      </c>
      <c r="F3" s="9">
        <f>'Historical FS'!K3</f>
        <v>45747</v>
      </c>
      <c r="G3" s="9">
        <f>'Historical FS'!L3</f>
        <v>46112</v>
      </c>
      <c r="H3" s="9">
        <f>G3+365</f>
        <v>46477</v>
      </c>
      <c r="I3" s="9">
        <f t="shared" ref="I3:L3" si="0">H3+365</f>
        <v>46842</v>
      </c>
      <c r="J3" s="9">
        <f t="shared" si="0"/>
        <v>47207</v>
      </c>
      <c r="K3" s="9">
        <f t="shared" si="0"/>
        <v>47572</v>
      </c>
      <c r="L3" s="9">
        <f t="shared" si="0"/>
        <v>47937</v>
      </c>
    </row>
    <row r="4" spans="1:18" x14ac:dyDescent="0.25">
      <c r="B4" s="54" t="s">
        <v>185</v>
      </c>
      <c r="C4" t="str">
        <f>IF(C46=C59,"True","False")</f>
        <v>True</v>
      </c>
      <c r="D4" t="str">
        <f t="shared" ref="D4:L4" si="1">IF(D46=D59,"True","False")</f>
        <v>True</v>
      </c>
      <c r="E4" t="str">
        <f t="shared" si="1"/>
        <v>True</v>
      </c>
      <c r="F4" t="str">
        <f t="shared" si="1"/>
        <v>True</v>
      </c>
      <c r="G4" t="str">
        <f t="shared" si="1"/>
        <v>True</v>
      </c>
      <c r="H4" t="str">
        <f t="shared" si="1"/>
        <v>True</v>
      </c>
      <c r="I4" t="str">
        <f t="shared" si="1"/>
        <v>True</v>
      </c>
      <c r="J4" t="str">
        <f t="shared" si="1"/>
        <v>True</v>
      </c>
      <c r="K4" t="str">
        <f t="shared" si="1"/>
        <v>True</v>
      </c>
      <c r="L4" t="str">
        <f t="shared" si="1"/>
        <v>True</v>
      </c>
    </row>
    <row r="6" spans="1:18" x14ac:dyDescent="0.25">
      <c r="A6" t="s">
        <v>55</v>
      </c>
      <c r="B6" s="55" t="s">
        <v>186</v>
      </c>
      <c r="C6" s="129"/>
      <c r="D6" s="129"/>
      <c r="E6" s="129"/>
      <c r="F6" s="129"/>
      <c r="G6" s="129"/>
      <c r="H6" s="130"/>
      <c r="I6" s="130"/>
      <c r="J6" s="130"/>
      <c r="K6" s="130"/>
      <c r="L6" s="130"/>
      <c r="N6" s="13"/>
      <c r="O6" s="13"/>
      <c r="P6" s="13"/>
      <c r="Q6" s="13"/>
      <c r="R6" s="13"/>
    </row>
    <row r="7" spans="1:18" x14ac:dyDescent="0.25">
      <c r="B7" s="64" t="s">
        <v>208</v>
      </c>
      <c r="C7" s="64"/>
      <c r="D7" s="99">
        <f>D27/C27-1</f>
        <v>0.20655864387829759</v>
      </c>
      <c r="E7" s="99">
        <f t="shared" ref="E7:G7" si="2">E27/D27-1</f>
        <v>4.7033733741236095E-2</v>
      </c>
      <c r="F7" s="99">
        <f t="shared" si="2"/>
        <v>6.0649443612936782E-2</v>
      </c>
      <c r="G7" s="99">
        <f t="shared" si="2"/>
        <v>9.6079514080618544E-2</v>
      </c>
      <c r="H7" s="84">
        <v>0.106</v>
      </c>
      <c r="I7" s="84">
        <v>0.106</v>
      </c>
      <c r="J7" s="84">
        <v>0.106</v>
      </c>
      <c r="K7" s="84">
        <v>0.106</v>
      </c>
      <c r="L7" s="84">
        <v>0.106</v>
      </c>
      <c r="N7" s="13"/>
    </row>
    <row r="8" spans="1:18" x14ac:dyDescent="0.25">
      <c r="B8" s="64" t="s">
        <v>209</v>
      </c>
      <c r="C8" s="99">
        <f>C28/C27</f>
        <v>0.69728956519594543</v>
      </c>
      <c r="D8" s="99">
        <f t="shared" ref="D8:G8" si="3">D28/D27</f>
        <v>0.71460205632056251</v>
      </c>
      <c r="E8" s="99">
        <f t="shared" si="3"/>
        <v>0.71601483698835167</v>
      </c>
      <c r="F8" s="99">
        <f t="shared" si="3"/>
        <v>0.71528928155101545</v>
      </c>
      <c r="G8" s="99">
        <f t="shared" si="3"/>
        <v>0.71792331374195351</v>
      </c>
      <c r="H8" s="84">
        <v>0.71220000000000006</v>
      </c>
      <c r="I8" s="84">
        <v>0.71220000000000006</v>
      </c>
      <c r="J8" s="84">
        <v>0.71220000000000006</v>
      </c>
      <c r="K8" s="84">
        <v>0.71220000000000006</v>
      </c>
      <c r="L8" s="84">
        <v>0.71220000000000006</v>
      </c>
      <c r="N8" s="51"/>
      <c r="O8" s="51"/>
    </row>
    <row r="9" spans="1:18" x14ac:dyDescent="0.25">
      <c r="B9" s="64" t="s">
        <v>210</v>
      </c>
      <c r="C9" s="99">
        <f>C30/C27</f>
        <v>4.3825683774385282E-2</v>
      </c>
      <c r="D9" s="99">
        <f t="shared" ref="D9:G9" si="4">D30/D27</f>
        <v>4.6038959711651804E-2</v>
      </c>
      <c r="E9" s="99">
        <f t="shared" si="4"/>
        <v>4.6951259191774584E-2</v>
      </c>
      <c r="F9" s="99">
        <f t="shared" si="4"/>
        <v>4.3984293514939564E-2</v>
      </c>
      <c r="G9" s="99">
        <f t="shared" si="4"/>
        <v>4.5412818359921635E-2</v>
      </c>
      <c r="H9" s="84">
        <v>4.5199999999999997E-2</v>
      </c>
      <c r="I9" s="84">
        <v>4.5199999999999997E-2</v>
      </c>
      <c r="J9" s="84">
        <v>4.5199999999999997E-2</v>
      </c>
      <c r="K9" s="84">
        <v>4.5199999999999997E-2</v>
      </c>
      <c r="L9" s="84">
        <v>4.5199999999999997E-2</v>
      </c>
      <c r="N9" s="51"/>
    </row>
    <row r="10" spans="1:18" x14ac:dyDescent="0.25">
      <c r="B10" s="64" t="s">
        <v>239</v>
      </c>
      <c r="C10" s="99">
        <f>C32/C27</f>
        <v>1.886699385897847E-2</v>
      </c>
      <c r="D10" s="99">
        <f t="shared" ref="D10:G10" si="5">D32/D27</f>
        <v>1.8403319547309682E-2</v>
      </c>
      <c r="E10" s="99">
        <f t="shared" si="5"/>
        <v>3.0656601809071388E-2</v>
      </c>
      <c r="F10" s="99">
        <f t="shared" si="5"/>
        <v>2.2087244616234125E-2</v>
      </c>
      <c r="G10" s="99">
        <f t="shared" si="5"/>
        <v>1.6977329974811082E-2</v>
      </c>
      <c r="H10" s="84">
        <v>2.1000000000000001E-2</v>
      </c>
      <c r="I10" s="84">
        <v>2.1000000000000001E-2</v>
      </c>
      <c r="J10" s="84">
        <v>2.1000000000000001E-2</v>
      </c>
      <c r="K10" s="84">
        <v>2.1000000000000001E-2</v>
      </c>
      <c r="L10" s="84">
        <v>2.1000000000000001E-2</v>
      </c>
      <c r="N10" s="51"/>
    </row>
    <row r="11" spans="1:18" x14ac:dyDescent="0.25">
      <c r="B11" s="64" t="s">
        <v>5</v>
      </c>
      <c r="C11" s="99">
        <f>C34/(C48+C49)</f>
        <v>0.13259078425389076</v>
      </c>
      <c r="D11" s="99">
        <f t="shared" ref="D11:G11" si="6">D34/(D48+D49)</f>
        <v>0.1431572527360824</v>
      </c>
      <c r="E11" s="99">
        <f t="shared" si="6"/>
        <v>0.16758015403904711</v>
      </c>
      <c r="F11" s="99">
        <f t="shared" si="6"/>
        <v>0.15143981117230526</v>
      </c>
      <c r="G11" s="99">
        <f t="shared" si="6"/>
        <v>0.14293212036389083</v>
      </c>
      <c r="H11" s="84">
        <v>0.14749999999999999</v>
      </c>
      <c r="I11" s="84">
        <v>0.14749999999999999</v>
      </c>
      <c r="J11" s="84">
        <v>0.14749999999999999</v>
      </c>
      <c r="K11" s="84">
        <v>0.14749999999999999</v>
      </c>
      <c r="L11" s="84">
        <v>0.14749999999999999</v>
      </c>
      <c r="N11" s="51"/>
    </row>
    <row r="12" spans="1:18" x14ac:dyDescent="0.25">
      <c r="B12" s="64" t="s">
        <v>6</v>
      </c>
      <c r="C12" s="99">
        <f>C35/C44</f>
        <v>3.6536353671903547E-2</v>
      </c>
      <c r="D12" s="99">
        <f t="shared" ref="D12:G12" si="7">D35/D44</f>
        <v>3.4220990480780818E-2</v>
      </c>
      <c r="E12" s="99">
        <f t="shared" si="7"/>
        <v>5.6226821390118434E-2</v>
      </c>
      <c r="F12" s="99">
        <f t="shared" si="7"/>
        <v>5.0565212106478664E-2</v>
      </c>
      <c r="G12" s="99">
        <f t="shared" si="7"/>
        <v>4.5335658238884045E-2</v>
      </c>
      <c r="H12" s="84">
        <v>4.4999999999999998E-2</v>
      </c>
      <c r="I12" s="84">
        <v>4.4999999999999998E-2</v>
      </c>
      <c r="J12" s="84">
        <v>4.4999999999999998E-2</v>
      </c>
      <c r="K12" s="84">
        <v>4.4999999999999998E-2</v>
      </c>
      <c r="L12" s="84">
        <v>4.4999999999999998E-2</v>
      </c>
      <c r="N12" s="51"/>
    </row>
    <row r="13" spans="1:18" x14ac:dyDescent="0.25">
      <c r="B13" s="64" t="s">
        <v>211</v>
      </c>
      <c r="C13" s="99">
        <f>C37/C36</f>
        <v>0.26449684490202591</v>
      </c>
      <c r="D13" s="99">
        <f t="shared" ref="D13:G13" si="8">D37/D36</f>
        <v>0.27651401476502013</v>
      </c>
      <c r="E13" s="99">
        <f t="shared" si="8"/>
        <v>0.27064577081249308</v>
      </c>
      <c r="F13" s="99">
        <f t="shared" si="8"/>
        <v>0.28871516698574773</v>
      </c>
      <c r="G13" s="99">
        <f t="shared" si="8"/>
        <v>0.26305788223527943</v>
      </c>
      <c r="H13" s="84">
        <v>0.2727</v>
      </c>
      <c r="I13" s="84">
        <v>0.2727</v>
      </c>
      <c r="J13" s="84">
        <v>0.2727</v>
      </c>
      <c r="K13" s="84">
        <v>0.2727</v>
      </c>
      <c r="L13" s="84">
        <v>0.2727</v>
      </c>
      <c r="P13" s="51"/>
    </row>
    <row r="14" spans="1:18" x14ac:dyDescent="0.25">
      <c r="B14" s="64" t="s">
        <v>214</v>
      </c>
      <c r="C14" s="104">
        <f>C54/C27*C24</f>
        <v>68.108368066688044</v>
      </c>
      <c r="D14" s="104">
        <f t="shared" ref="D14:G14" si="9">D54/D27*D24</f>
        <v>63.227837320378555</v>
      </c>
      <c r="E14" s="104">
        <f t="shared" si="9"/>
        <v>71.715006182078483</v>
      </c>
      <c r="F14" s="104">
        <f t="shared" si="9"/>
        <v>69.775262286029815</v>
      </c>
      <c r="G14" s="104">
        <f t="shared" si="9"/>
        <v>71.986621886370003</v>
      </c>
      <c r="H14" s="105">
        <v>68</v>
      </c>
      <c r="I14" s="105">
        <v>68</v>
      </c>
      <c r="J14" s="105">
        <v>68</v>
      </c>
      <c r="K14" s="105">
        <v>68</v>
      </c>
      <c r="L14" s="105">
        <v>68</v>
      </c>
    </row>
    <row r="15" spans="1:18" x14ac:dyDescent="0.25">
      <c r="B15" s="64" t="s">
        <v>213</v>
      </c>
      <c r="C15" s="104">
        <f>C55/C27*C24</f>
        <v>0</v>
      </c>
      <c r="D15" s="104">
        <f t="shared" ref="D15:G15" si="10">D55/D27*D24</f>
        <v>0</v>
      </c>
      <c r="E15" s="104">
        <f t="shared" si="10"/>
        <v>0</v>
      </c>
      <c r="F15" s="104">
        <f t="shared" si="10"/>
        <v>0</v>
      </c>
      <c r="G15" s="104">
        <f t="shared" si="10"/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0</v>
      </c>
      <c r="N15" s="113"/>
      <c r="P15" s="14"/>
    </row>
    <row r="16" spans="1:18" x14ac:dyDescent="0.25">
      <c r="B16" s="64" t="s">
        <v>215</v>
      </c>
      <c r="C16" s="104">
        <f>C44/C27*C24</f>
        <v>16.42546509811659</v>
      </c>
      <c r="D16" s="104">
        <f t="shared" ref="D16:G16" si="11">D44/D27*D24</f>
        <v>20.639074178800414</v>
      </c>
      <c r="E16" s="104">
        <f t="shared" si="11"/>
        <v>19.854460857682046</v>
      </c>
      <c r="F16" s="104">
        <f t="shared" si="11"/>
        <v>18.423553592244925</v>
      </c>
      <c r="G16" s="104">
        <f t="shared" si="11"/>
        <v>18.747495102155053</v>
      </c>
      <c r="H16" s="105">
        <v>18</v>
      </c>
      <c r="I16" s="105">
        <v>18</v>
      </c>
      <c r="J16" s="105">
        <v>18</v>
      </c>
      <c r="K16" s="105">
        <v>18</v>
      </c>
      <c r="L16" s="105">
        <v>18</v>
      </c>
      <c r="O16" s="76"/>
    </row>
    <row r="17" spans="1:24" x14ac:dyDescent="0.25">
      <c r="B17" s="64" t="s">
        <v>228</v>
      </c>
      <c r="C17" s="99">
        <f>C96/C27</f>
        <v>3.1001060497694036E-2</v>
      </c>
      <c r="D17" s="99">
        <f t="shared" ref="D17:G17" si="12">D96/D27</f>
        <v>5.2123433741917462E-2</v>
      </c>
      <c r="E17" s="99">
        <f t="shared" si="12"/>
        <v>2.001041192165029E-2</v>
      </c>
      <c r="F17" s="99">
        <f t="shared" si="12"/>
        <v>5.0009203018590097E-2</v>
      </c>
      <c r="G17" s="99">
        <f t="shared" si="12"/>
        <v>4.3162608452280996E-2</v>
      </c>
      <c r="H17" s="84">
        <v>0.04</v>
      </c>
      <c r="I17" s="84">
        <v>0.04</v>
      </c>
      <c r="J17" s="84">
        <v>0.04</v>
      </c>
      <c r="K17" s="84">
        <v>0.04</v>
      </c>
      <c r="L17" s="84">
        <v>0.04</v>
      </c>
      <c r="N17" s="51"/>
      <c r="O17" s="51"/>
    </row>
    <row r="18" spans="1:24" x14ac:dyDescent="0.25">
      <c r="B18" s="64" t="s">
        <v>227</v>
      </c>
      <c r="C18" s="104">
        <f>C49</f>
        <v>416</v>
      </c>
      <c r="D18" s="104">
        <f t="shared" ref="D18:G18" si="13">D49</f>
        <v>288</v>
      </c>
      <c r="E18" s="104">
        <f t="shared" si="13"/>
        <v>293</v>
      </c>
      <c r="F18" s="104">
        <f t="shared" si="13"/>
        <v>814</v>
      </c>
      <c r="G18" s="104">
        <f t="shared" si="13"/>
        <v>526</v>
      </c>
      <c r="H18" s="105">
        <v>467</v>
      </c>
      <c r="I18" s="105">
        <v>467</v>
      </c>
      <c r="J18" s="105">
        <v>467</v>
      </c>
      <c r="K18" s="105">
        <v>467</v>
      </c>
      <c r="L18" s="105">
        <v>467</v>
      </c>
      <c r="N18" s="51"/>
    </row>
    <row r="19" spans="1:24" x14ac:dyDescent="0.25">
      <c r="B19" s="64" t="s">
        <v>251</v>
      </c>
      <c r="C19" s="99">
        <f>C45/C27</f>
        <v>0.29517185817282005</v>
      </c>
      <c r="D19" s="99">
        <f>D45/D27</f>
        <v>0.27860486349111174</v>
      </c>
      <c r="E19" s="99">
        <f>E45/E27</f>
        <v>0.25733715103793842</v>
      </c>
      <c r="F19" s="99">
        <f>F45/F27</f>
        <v>0.26842137554451195</v>
      </c>
      <c r="G19" s="99">
        <f>G45/G27</f>
        <v>0.29252728799328298</v>
      </c>
      <c r="H19" s="84">
        <v>0.27839999999999998</v>
      </c>
      <c r="I19" s="84">
        <v>0.27839999999999998</v>
      </c>
      <c r="J19" s="84">
        <v>0.27839999999999998</v>
      </c>
      <c r="K19" s="84">
        <v>0.27839999999999998</v>
      </c>
      <c r="L19" s="84">
        <v>0.27839999999999998</v>
      </c>
    </row>
    <row r="20" spans="1:24" x14ac:dyDescent="0.25">
      <c r="B20" s="64" t="s">
        <v>229</v>
      </c>
      <c r="C20" s="99">
        <f>C51/C27</f>
        <v>0.24678356804038112</v>
      </c>
      <c r="D20" s="99">
        <f>D51/D27</f>
        <v>0.25896829668794757</v>
      </c>
      <c r="E20" s="99">
        <f>E51/E27</f>
        <v>0.25055638706318734</v>
      </c>
      <c r="F20" s="99">
        <f>F51/F27</f>
        <v>0.2261856555616909</v>
      </c>
      <c r="G20" s="99">
        <f>G51/G27</f>
        <v>0.22769101595298069</v>
      </c>
      <c r="H20" s="84">
        <v>0.23</v>
      </c>
      <c r="I20" s="84">
        <v>0.23</v>
      </c>
      <c r="J20" s="84">
        <v>0.23</v>
      </c>
      <c r="K20" s="84">
        <v>0.23</v>
      </c>
      <c r="L20" s="84">
        <v>0.23</v>
      </c>
    </row>
    <row r="21" spans="1:24" x14ac:dyDescent="0.25">
      <c r="B21" s="64" t="s">
        <v>256</v>
      </c>
      <c r="C21" s="99"/>
      <c r="D21" s="99">
        <f>D50/C50-1</f>
        <v>-4.1625664239323013E-2</v>
      </c>
      <c r="E21" s="99">
        <f>E50/D50-1</f>
        <v>0.26414416264503537</v>
      </c>
      <c r="F21" s="99">
        <f>F50/E50-1</f>
        <v>-4.39426552410348E-2</v>
      </c>
      <c r="G21" s="99">
        <f>G50/F50-1</f>
        <v>-7.0557750307973288E-2</v>
      </c>
      <c r="H21" s="84">
        <v>2.7E-2</v>
      </c>
      <c r="I21" s="84">
        <v>2.7E-2</v>
      </c>
      <c r="J21" s="84">
        <v>2.7E-2</v>
      </c>
      <c r="K21" s="84">
        <v>2.7E-2</v>
      </c>
      <c r="L21" s="84">
        <v>2.7E-2</v>
      </c>
    </row>
    <row r="22" spans="1:24" x14ac:dyDescent="0.25">
      <c r="B22" s="64" t="s">
        <v>10</v>
      </c>
      <c r="C22" s="106">
        <f>C42</f>
        <v>2098</v>
      </c>
      <c r="D22" s="106">
        <f t="shared" ref="D22:G22" si="14">D42</f>
        <v>2069</v>
      </c>
      <c r="E22" s="106">
        <f t="shared" si="14"/>
        <v>2071</v>
      </c>
      <c r="F22" s="106">
        <f t="shared" si="14"/>
        <v>2073</v>
      </c>
      <c r="G22" s="106">
        <f t="shared" si="14"/>
        <v>2024</v>
      </c>
      <c r="H22" s="107">
        <v>2024</v>
      </c>
      <c r="I22" s="107">
        <v>2024</v>
      </c>
      <c r="J22" s="107">
        <v>2024</v>
      </c>
      <c r="K22" s="107">
        <v>2024</v>
      </c>
      <c r="L22" s="107">
        <v>2024</v>
      </c>
    </row>
    <row r="23" spans="1:24" x14ac:dyDescent="0.25">
      <c r="B23" s="64" t="s">
        <v>77</v>
      </c>
      <c r="C23" s="99"/>
      <c r="D23" s="99">
        <f t="shared" ref="D23:G23" si="15">D112</f>
        <v>3.5672805707648914E-3</v>
      </c>
      <c r="E23" s="99">
        <f t="shared" si="15"/>
        <v>0.48411307528192626</v>
      </c>
      <c r="F23" s="99">
        <f t="shared" si="15"/>
        <v>0.28785046728971964</v>
      </c>
      <c r="G23" s="99">
        <f t="shared" si="15"/>
        <v>-9.8968582479473433E-2</v>
      </c>
      <c r="H23" s="84">
        <v>0.1691</v>
      </c>
      <c r="I23" s="84">
        <v>0.1691</v>
      </c>
      <c r="J23" s="84">
        <v>0.1691</v>
      </c>
      <c r="K23" s="84">
        <v>0.1691</v>
      </c>
      <c r="L23" s="84">
        <v>0.1691</v>
      </c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</row>
    <row r="24" spans="1:24" x14ac:dyDescent="0.25">
      <c r="B24" s="64" t="s">
        <v>212</v>
      </c>
      <c r="C24" s="110">
        <v>365</v>
      </c>
      <c r="D24" s="110">
        <v>365</v>
      </c>
      <c r="E24" s="110">
        <v>365</v>
      </c>
      <c r="F24" s="110">
        <v>365</v>
      </c>
      <c r="G24" s="110">
        <v>365</v>
      </c>
      <c r="H24" s="110">
        <v>365</v>
      </c>
      <c r="I24" s="110">
        <v>365</v>
      </c>
      <c r="J24" s="110">
        <v>365</v>
      </c>
      <c r="K24" s="110">
        <v>365</v>
      </c>
      <c r="L24" s="110">
        <v>365</v>
      </c>
    </row>
    <row r="26" spans="1:24" x14ac:dyDescent="0.25">
      <c r="A26" t="s">
        <v>55</v>
      </c>
      <c r="B26" s="55" t="s">
        <v>56</v>
      </c>
      <c r="C26" s="129"/>
      <c r="D26" s="129"/>
      <c r="E26" s="129"/>
      <c r="F26" s="129"/>
      <c r="G26" s="129"/>
      <c r="H26" s="130"/>
      <c r="I26" s="130"/>
      <c r="J26" s="130"/>
      <c r="K26" s="130"/>
      <c r="L26" s="130"/>
      <c r="N26" s="13"/>
      <c r="O26" s="13"/>
      <c r="P26" s="13"/>
      <c r="Q26" s="13"/>
      <c r="R26" s="13"/>
    </row>
    <row r="27" spans="1:24" x14ac:dyDescent="0.25">
      <c r="B27" s="64" t="s">
        <v>57</v>
      </c>
      <c r="C27" s="108">
        <v>121641</v>
      </c>
      <c r="D27" s="108">
        <v>146767</v>
      </c>
      <c r="E27" s="108">
        <v>153670</v>
      </c>
      <c r="F27" s="108">
        <v>162990</v>
      </c>
      <c r="G27" s="108">
        <v>178650</v>
      </c>
      <c r="H27" s="65">
        <f>G27*(1+H7)</f>
        <v>197586.90000000002</v>
      </c>
      <c r="I27" s="65">
        <f t="shared" ref="I27:L27" si="16">H27*(1+I7)</f>
        <v>218531.11140000005</v>
      </c>
      <c r="J27" s="65">
        <f t="shared" si="16"/>
        <v>241695.40920840009</v>
      </c>
      <c r="K27" s="65">
        <f t="shared" si="16"/>
        <v>267315.12258449051</v>
      </c>
      <c r="L27" s="65">
        <f t="shared" si="16"/>
        <v>295650.52557844651</v>
      </c>
    </row>
    <row r="28" spans="1:24" x14ac:dyDescent="0.25">
      <c r="B28" s="64" t="s">
        <v>59</v>
      </c>
      <c r="C28" s="108">
        <v>84819</v>
      </c>
      <c r="D28" s="108">
        <v>104880</v>
      </c>
      <c r="E28" s="108">
        <v>110030</v>
      </c>
      <c r="F28" s="108">
        <v>116585</v>
      </c>
      <c r="G28" s="108">
        <v>128257</v>
      </c>
      <c r="H28" s="65">
        <f>H27*H8</f>
        <v>140721.39018000002</v>
      </c>
      <c r="I28" s="65">
        <f t="shared" ref="I28:L28" si="17">I27*I8</f>
        <v>155637.85753908005</v>
      </c>
      <c r="J28" s="65">
        <f t="shared" si="17"/>
        <v>172135.47043822255</v>
      </c>
      <c r="K28" s="65">
        <f t="shared" si="17"/>
        <v>190381.83030467416</v>
      </c>
      <c r="L28" s="65">
        <f t="shared" si="17"/>
        <v>210562.30431696962</v>
      </c>
    </row>
    <row r="29" spans="1:24" x14ac:dyDescent="0.25">
      <c r="B29" s="52" t="s">
        <v>61</v>
      </c>
      <c r="C29" s="19">
        <f>C27-C28</f>
        <v>36822</v>
      </c>
      <c r="D29" s="19">
        <f t="shared" ref="D29:G29" si="18">D27-D28</f>
        <v>41887</v>
      </c>
      <c r="E29" s="19">
        <f t="shared" si="18"/>
        <v>43640</v>
      </c>
      <c r="F29" s="19">
        <f t="shared" si="18"/>
        <v>46405</v>
      </c>
      <c r="G29" s="19">
        <f t="shared" si="18"/>
        <v>50393</v>
      </c>
      <c r="H29" s="75">
        <f>H27-H28</f>
        <v>56865.509820000007</v>
      </c>
      <c r="I29" s="75">
        <f t="shared" ref="I29:L29" si="19">I27-I28</f>
        <v>62893.253860919998</v>
      </c>
      <c r="J29" s="75">
        <f t="shared" si="19"/>
        <v>69559.938770177541</v>
      </c>
      <c r="K29" s="75">
        <f t="shared" si="19"/>
        <v>76933.292279816349</v>
      </c>
      <c r="L29" s="75">
        <f t="shared" si="19"/>
        <v>85088.221261476894</v>
      </c>
    </row>
    <row r="30" spans="1:24" x14ac:dyDescent="0.25">
      <c r="B30" s="64" t="s">
        <v>63</v>
      </c>
      <c r="C30" s="108">
        <v>5331</v>
      </c>
      <c r="D30" s="108">
        <v>6757</v>
      </c>
      <c r="E30" s="108">
        <v>7215</v>
      </c>
      <c r="F30" s="108">
        <v>7169</v>
      </c>
      <c r="G30" s="108">
        <v>8113</v>
      </c>
      <c r="H30" s="65">
        <f>H27*H9</f>
        <v>8930.9278800000011</v>
      </c>
      <c r="I30" s="65">
        <f t="shared" ref="I30:L30" si="20">I27*I9</f>
        <v>9877.6062352800018</v>
      </c>
      <c r="J30" s="65">
        <f t="shared" si="20"/>
        <v>10924.632496219683</v>
      </c>
      <c r="K30" s="65">
        <f t="shared" si="20"/>
        <v>12082.64354081897</v>
      </c>
      <c r="L30" s="65">
        <f t="shared" si="20"/>
        <v>13363.403756145781</v>
      </c>
    </row>
    <row r="31" spans="1:24" x14ac:dyDescent="0.25">
      <c r="B31" s="52" t="s">
        <v>65</v>
      </c>
      <c r="C31" s="19">
        <f>C29-C30</f>
        <v>31491</v>
      </c>
      <c r="D31" s="19">
        <f t="shared" ref="D31:G31" si="21">D29-D30</f>
        <v>35130</v>
      </c>
      <c r="E31" s="19">
        <f t="shared" si="21"/>
        <v>36425</v>
      </c>
      <c r="F31" s="19">
        <f t="shared" si="21"/>
        <v>39236</v>
      </c>
      <c r="G31" s="19">
        <f t="shared" si="21"/>
        <v>42280</v>
      </c>
      <c r="H31" s="75">
        <f>H29-H30</f>
        <v>47934.581940000004</v>
      </c>
      <c r="I31" s="75">
        <f t="shared" ref="I31:L31" si="22">I29-I30</f>
        <v>53015.647625639998</v>
      </c>
      <c r="J31" s="75">
        <f t="shared" si="22"/>
        <v>58635.30627395786</v>
      </c>
      <c r="K31" s="75">
        <f t="shared" si="22"/>
        <v>64850.648738997377</v>
      </c>
      <c r="L31" s="75">
        <f t="shared" si="22"/>
        <v>71724.817505331113</v>
      </c>
    </row>
    <row r="32" spans="1:24" x14ac:dyDescent="0.25">
      <c r="B32" s="64" t="s">
        <v>4</v>
      </c>
      <c r="C32" s="108">
        <v>2295</v>
      </c>
      <c r="D32" s="108">
        <v>2701</v>
      </c>
      <c r="E32" s="108">
        <v>4711</v>
      </c>
      <c r="F32" s="108">
        <v>3600</v>
      </c>
      <c r="G32" s="108">
        <v>3033</v>
      </c>
      <c r="H32" s="65">
        <f>H27*H10</f>
        <v>4149.3249000000005</v>
      </c>
      <c r="I32" s="65">
        <f t="shared" ref="I32:L32" si="23">I27*I10</f>
        <v>4589.1533394000016</v>
      </c>
      <c r="J32" s="65">
        <f t="shared" si="23"/>
        <v>5075.6035933764024</v>
      </c>
      <c r="K32" s="65">
        <f t="shared" si="23"/>
        <v>5613.6175742743008</v>
      </c>
      <c r="L32" s="65">
        <f t="shared" si="23"/>
        <v>6208.6610371473771</v>
      </c>
    </row>
    <row r="33" spans="1:12" x14ac:dyDescent="0.25">
      <c r="B33" s="52" t="s">
        <v>2</v>
      </c>
      <c r="C33" s="64"/>
      <c r="D33" s="64"/>
      <c r="E33" s="64"/>
      <c r="F33" s="64"/>
      <c r="G33" s="64"/>
      <c r="H33" s="64"/>
      <c r="I33" s="64"/>
      <c r="J33" s="64"/>
      <c r="K33" s="64"/>
      <c r="L33" s="64"/>
    </row>
    <row r="34" spans="1:12" x14ac:dyDescent="0.25">
      <c r="B34" s="64" t="s">
        <v>5</v>
      </c>
      <c r="C34" s="108">
        <v>3476</v>
      </c>
      <c r="D34" s="108">
        <v>4225</v>
      </c>
      <c r="E34" s="108">
        <v>4678</v>
      </c>
      <c r="F34" s="108">
        <v>4812</v>
      </c>
      <c r="G34" s="108">
        <v>4902</v>
      </c>
      <c r="H34" s="65">
        <f>H97</f>
        <v>4981.0749999999998</v>
      </c>
      <c r="I34" s="65">
        <f t="shared" ref="I34:L34" si="24">I97</f>
        <v>5412.1291474999998</v>
      </c>
      <c r="J34" s="65">
        <f t="shared" si="24"/>
        <v>5903.1736555037496</v>
      </c>
      <c r="K34" s="65">
        <f t="shared" si="24"/>
        <v>6458.458455646507</v>
      </c>
      <c r="L34" s="65">
        <f t="shared" si="24"/>
        <v>7082.9950566871421</v>
      </c>
    </row>
    <row r="35" spans="1:12" x14ac:dyDescent="0.25">
      <c r="B35" s="64" t="s">
        <v>6</v>
      </c>
      <c r="C35" s="108">
        <v>200</v>
      </c>
      <c r="D35" s="108">
        <v>284</v>
      </c>
      <c r="E35" s="108">
        <v>470</v>
      </c>
      <c r="F35" s="108">
        <v>416</v>
      </c>
      <c r="G35" s="108">
        <v>416</v>
      </c>
      <c r="H35" s="61">
        <f>H104</f>
        <v>412.91999999999996</v>
      </c>
      <c r="I35" s="61">
        <f t="shared" ref="I35:L35" si="25">I104</f>
        <v>438.48051780821919</v>
      </c>
      <c r="J35" s="61">
        <f t="shared" si="25"/>
        <v>484.95945269589049</v>
      </c>
      <c r="K35" s="61">
        <f t="shared" si="25"/>
        <v>536.36515468165487</v>
      </c>
      <c r="L35" s="61">
        <f t="shared" si="25"/>
        <v>593.21986107791042</v>
      </c>
    </row>
    <row r="36" spans="1:12" x14ac:dyDescent="0.25">
      <c r="B36" s="52" t="s">
        <v>69</v>
      </c>
      <c r="C36" s="19">
        <f>C31+C32-(C34+C35)</f>
        <v>30110</v>
      </c>
      <c r="D36" s="19">
        <f t="shared" ref="D36:L36" si="26">D31+D32-(D34+D35)</f>
        <v>33322</v>
      </c>
      <c r="E36" s="19">
        <f t="shared" si="26"/>
        <v>35988</v>
      </c>
      <c r="F36" s="19">
        <f t="shared" si="26"/>
        <v>37608</v>
      </c>
      <c r="G36" s="19">
        <f t="shared" si="26"/>
        <v>39995</v>
      </c>
      <c r="H36" s="19">
        <f t="shared" si="26"/>
        <v>46689.911840000001</v>
      </c>
      <c r="I36" s="19">
        <f t="shared" si="26"/>
        <v>51754.191299731778</v>
      </c>
      <c r="J36" s="19">
        <f t="shared" si="26"/>
        <v>57322.77675913462</v>
      </c>
      <c r="K36" s="19">
        <f t="shared" si="26"/>
        <v>63469.442702943525</v>
      </c>
      <c r="L36" s="19">
        <f t="shared" si="26"/>
        <v>70257.263624713436</v>
      </c>
    </row>
    <row r="37" spans="1:12" x14ac:dyDescent="0.25">
      <c r="B37" s="64" t="s">
        <v>8</v>
      </c>
      <c r="C37" s="108">
        <v>7964</v>
      </c>
      <c r="D37" s="108">
        <v>9214</v>
      </c>
      <c r="E37" s="108">
        <v>9740</v>
      </c>
      <c r="F37" s="108">
        <v>10858</v>
      </c>
      <c r="G37" s="108">
        <v>10521</v>
      </c>
      <c r="H37" s="65">
        <f>H36*H13</f>
        <v>12732.338958767999</v>
      </c>
      <c r="I37" s="65">
        <f t="shared" ref="I37:L37" si="27">I36*I13</f>
        <v>14113.367967436856</v>
      </c>
      <c r="J37" s="65">
        <f t="shared" si="27"/>
        <v>15631.921222216011</v>
      </c>
      <c r="K37" s="65">
        <f t="shared" si="27"/>
        <v>17308.117025092699</v>
      </c>
      <c r="L37" s="65">
        <f t="shared" si="27"/>
        <v>19159.155790459354</v>
      </c>
    </row>
    <row r="38" spans="1:12" x14ac:dyDescent="0.25">
      <c r="B38" s="52" t="s">
        <v>72</v>
      </c>
      <c r="C38" s="19">
        <f>C36-C37</f>
        <v>22146</v>
      </c>
      <c r="D38" s="19">
        <f t="shared" ref="D38:L38" si="28">D36-D37</f>
        <v>24108</v>
      </c>
      <c r="E38" s="19">
        <f t="shared" si="28"/>
        <v>26248</v>
      </c>
      <c r="F38" s="19">
        <f t="shared" si="28"/>
        <v>26750</v>
      </c>
      <c r="G38" s="19">
        <f t="shared" si="28"/>
        <v>29474</v>
      </c>
      <c r="H38" s="19">
        <f t="shared" si="28"/>
        <v>33957.572881232001</v>
      </c>
      <c r="I38" s="19">
        <f t="shared" si="28"/>
        <v>37640.823332294924</v>
      </c>
      <c r="J38" s="19">
        <f t="shared" si="28"/>
        <v>41690.855536918607</v>
      </c>
      <c r="K38" s="19">
        <f t="shared" si="28"/>
        <v>46161.325677850822</v>
      </c>
      <c r="L38" s="19">
        <f t="shared" si="28"/>
        <v>51098.107834254086</v>
      </c>
    </row>
    <row r="41" spans="1:12" x14ac:dyDescent="0.25">
      <c r="A41" t="s">
        <v>55</v>
      </c>
      <c r="B41" s="55" t="s">
        <v>79</v>
      </c>
      <c r="C41" s="129"/>
      <c r="D41" s="129"/>
      <c r="E41" s="129"/>
      <c r="F41" s="129"/>
      <c r="G41" s="129"/>
      <c r="H41" s="130"/>
      <c r="I41" s="130"/>
      <c r="J41" s="130"/>
      <c r="K41" s="130"/>
      <c r="L41" s="130"/>
    </row>
    <row r="42" spans="1:12" x14ac:dyDescent="0.25">
      <c r="B42" s="64" t="s">
        <v>10</v>
      </c>
      <c r="C42" s="108">
        <v>2098</v>
      </c>
      <c r="D42" s="108">
        <v>2069</v>
      </c>
      <c r="E42" s="108">
        <v>2071</v>
      </c>
      <c r="F42" s="108">
        <v>2073</v>
      </c>
      <c r="G42" s="108">
        <v>2024</v>
      </c>
      <c r="H42" s="65">
        <f>H22</f>
        <v>2024</v>
      </c>
      <c r="I42" s="65">
        <f t="shared" ref="I42:L42" si="29">I22</f>
        <v>2024</v>
      </c>
      <c r="J42" s="65">
        <f t="shared" si="29"/>
        <v>2024</v>
      </c>
      <c r="K42" s="65">
        <f t="shared" si="29"/>
        <v>2024</v>
      </c>
      <c r="L42" s="65">
        <f t="shared" si="29"/>
        <v>2024</v>
      </c>
    </row>
    <row r="43" spans="1:12" x14ac:dyDescent="0.25">
      <c r="B43" s="64" t="s">
        <v>11</v>
      </c>
      <c r="C43" s="108">
        <v>73252</v>
      </c>
      <c r="D43" s="108">
        <v>73338</v>
      </c>
      <c r="E43" s="108">
        <v>86045</v>
      </c>
      <c r="F43" s="108">
        <v>93745</v>
      </c>
      <c r="G43" s="108">
        <v>90828</v>
      </c>
      <c r="H43" s="61">
        <f>H111</f>
        <v>119043.34730701568</v>
      </c>
      <c r="I43" s="61">
        <f t="shared" ref="I43:L43" si="30">I111</f>
        <v>150319.10741381955</v>
      </c>
      <c r="J43" s="61">
        <f t="shared" si="30"/>
        <v>184960.03927944522</v>
      </c>
      <c r="K43" s="61">
        <f t="shared" si="30"/>
        <v>223315.48478517149</v>
      </c>
      <c r="L43" s="61">
        <f t="shared" si="30"/>
        <v>265772.90258465317</v>
      </c>
    </row>
    <row r="44" spans="1:12" x14ac:dyDescent="0.25">
      <c r="B44" s="64" t="s">
        <v>35</v>
      </c>
      <c r="C44" s="108">
        <v>5474</v>
      </c>
      <c r="D44" s="108">
        <v>8299</v>
      </c>
      <c r="E44" s="108">
        <v>8359</v>
      </c>
      <c r="F44" s="108">
        <v>8227</v>
      </c>
      <c r="G44" s="108">
        <v>9176</v>
      </c>
      <c r="H44" s="65">
        <f>H27*H16/H24</f>
        <v>9744.011506849316</v>
      </c>
      <c r="I44" s="65">
        <f t="shared" ref="I44:L44" si="31">I27*I16/I24</f>
        <v>10776.876726575345</v>
      </c>
      <c r="J44" s="65">
        <f t="shared" si="31"/>
        <v>11919.225659592332</v>
      </c>
      <c r="K44" s="65">
        <f t="shared" si="31"/>
        <v>13182.663579509121</v>
      </c>
      <c r="L44" s="65">
        <f t="shared" si="31"/>
        <v>14580.02591893709</v>
      </c>
    </row>
    <row r="45" spans="1:12" x14ac:dyDescent="0.25">
      <c r="B45" s="64" t="s">
        <v>36</v>
      </c>
      <c r="C45" s="108">
        <v>35905</v>
      </c>
      <c r="D45" s="108">
        <v>40890</v>
      </c>
      <c r="E45" s="108">
        <v>39545</v>
      </c>
      <c r="F45" s="108">
        <v>43750</v>
      </c>
      <c r="G45" s="108">
        <v>52260</v>
      </c>
      <c r="H45" s="65">
        <f>G45*(1+H19)</f>
        <v>66809.183999999994</v>
      </c>
      <c r="I45" s="65">
        <f t="shared" ref="I45:L45" si="32">H45*(1+I19)</f>
        <v>85408.860825599986</v>
      </c>
      <c r="J45" s="65">
        <f t="shared" si="32"/>
        <v>109186.68767944702</v>
      </c>
      <c r="K45" s="65">
        <f t="shared" si="32"/>
        <v>139584.26152940505</v>
      </c>
      <c r="L45" s="65">
        <f t="shared" si="32"/>
        <v>178444.51993919141</v>
      </c>
    </row>
    <row r="46" spans="1:12" x14ac:dyDescent="0.25">
      <c r="B46" s="52" t="s">
        <v>80</v>
      </c>
      <c r="C46" s="19">
        <f>SUM(C42:C45)</f>
        <v>116729</v>
      </c>
      <c r="D46" s="19">
        <f t="shared" ref="D46:L46" si="33">SUM(D42:D45)</f>
        <v>124596</v>
      </c>
      <c r="E46" s="19">
        <f t="shared" si="33"/>
        <v>136020</v>
      </c>
      <c r="F46" s="19">
        <f t="shared" si="33"/>
        <v>147795</v>
      </c>
      <c r="G46" s="19">
        <f t="shared" si="33"/>
        <v>154288</v>
      </c>
      <c r="H46" s="19">
        <f t="shared" si="33"/>
        <v>197620.542813865</v>
      </c>
      <c r="I46" s="19">
        <f t="shared" si="33"/>
        <v>248528.84496599488</v>
      </c>
      <c r="J46" s="19">
        <f t="shared" si="33"/>
        <v>308089.95261848456</v>
      </c>
      <c r="K46" s="19">
        <f t="shared" si="33"/>
        <v>378106.40989408566</v>
      </c>
      <c r="L46" s="19">
        <f t="shared" si="33"/>
        <v>460821.44844278169</v>
      </c>
    </row>
    <row r="47" spans="1:12" x14ac:dyDescent="0.25"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</row>
    <row r="48" spans="1:12" x14ac:dyDescent="0.25">
      <c r="B48" s="64" t="s">
        <v>253</v>
      </c>
      <c r="C48" s="108">
        <v>25800</v>
      </c>
      <c r="D48" s="108">
        <v>29225</v>
      </c>
      <c r="E48" s="108">
        <v>27622</v>
      </c>
      <c r="F48" s="108">
        <v>30961</v>
      </c>
      <c r="G48" s="108">
        <v>33770</v>
      </c>
      <c r="H48" s="61">
        <f>H98</f>
        <v>36692.400999999998</v>
      </c>
      <c r="I48" s="61">
        <f t="shared" ref="I48:L48" si="34">I98</f>
        <v>40021.516308500002</v>
      </c>
      <c r="J48" s="61">
        <f t="shared" si="34"/>
        <v>43786.159021332256</v>
      </c>
      <c r="K48" s="61">
        <f t="shared" si="34"/>
        <v>48020.305469065373</v>
      </c>
      <c r="L48" s="61">
        <f t="shared" si="34"/>
        <v>52763.331435516091</v>
      </c>
    </row>
    <row r="49" spans="1:15" x14ac:dyDescent="0.25">
      <c r="B49" s="64" t="s">
        <v>14</v>
      </c>
      <c r="C49" s="108">
        <v>416</v>
      </c>
      <c r="D49" s="108">
        <v>288</v>
      </c>
      <c r="E49" s="108">
        <v>293</v>
      </c>
      <c r="F49" s="108">
        <v>814</v>
      </c>
      <c r="G49" s="108">
        <v>526</v>
      </c>
      <c r="H49" s="61">
        <f>H18</f>
        <v>467</v>
      </c>
      <c r="I49" s="61">
        <f t="shared" ref="I49:L49" si="35">I18</f>
        <v>467</v>
      </c>
      <c r="J49" s="61">
        <f t="shared" si="35"/>
        <v>467</v>
      </c>
      <c r="K49" s="61">
        <f t="shared" si="35"/>
        <v>467</v>
      </c>
      <c r="L49" s="61">
        <f t="shared" si="35"/>
        <v>467</v>
      </c>
    </row>
    <row r="50" spans="1:15" x14ac:dyDescent="0.25">
      <c r="B50" s="64" t="s">
        <v>15</v>
      </c>
      <c r="C50" s="108">
        <v>20324</v>
      </c>
      <c r="D50" s="108">
        <v>19478</v>
      </c>
      <c r="E50" s="108">
        <v>24623</v>
      </c>
      <c r="F50" s="108">
        <v>23541</v>
      </c>
      <c r="G50" s="108">
        <v>21880</v>
      </c>
      <c r="H50" s="65">
        <f>G50*(1+H21)</f>
        <v>22470.76</v>
      </c>
      <c r="I50" s="65">
        <f t="shared" ref="I50:L50" si="36">H50*(1+I21)</f>
        <v>23077.470519999995</v>
      </c>
      <c r="J50" s="65">
        <f t="shared" si="36"/>
        <v>23700.562224039993</v>
      </c>
      <c r="K50" s="65">
        <f t="shared" si="36"/>
        <v>24340.47740408907</v>
      </c>
      <c r="L50" s="65">
        <f t="shared" si="36"/>
        <v>24997.670293999472</v>
      </c>
    </row>
    <row r="51" spans="1:15" x14ac:dyDescent="0.25">
      <c r="B51" s="64" t="s">
        <v>37</v>
      </c>
      <c r="C51" s="108">
        <v>30019</v>
      </c>
      <c r="D51" s="108">
        <v>38008</v>
      </c>
      <c r="E51" s="108">
        <v>38503</v>
      </c>
      <c r="F51" s="108">
        <v>36866</v>
      </c>
      <c r="G51" s="108">
        <v>40677</v>
      </c>
      <c r="H51" s="65">
        <f>G51*(1+H20)</f>
        <v>50032.71</v>
      </c>
      <c r="I51" s="65">
        <f t="shared" ref="I51:L51" si="37">H51*(1+I20)</f>
        <v>61540.2333</v>
      </c>
      <c r="J51" s="65">
        <f t="shared" si="37"/>
        <v>75694.486959000002</v>
      </c>
      <c r="K51" s="65">
        <f t="shared" si="37"/>
        <v>93104.218959570004</v>
      </c>
      <c r="L51" s="65">
        <f t="shared" si="37"/>
        <v>114518.18932027111</v>
      </c>
    </row>
    <row r="52" spans="1:15" x14ac:dyDescent="0.25">
      <c r="B52" s="52" t="s">
        <v>252</v>
      </c>
      <c r="C52" s="19">
        <f>SUM(C48:C51)</f>
        <v>76559</v>
      </c>
      <c r="D52" s="19">
        <f t="shared" ref="D52:G52" si="38">SUM(D48:D51)</f>
        <v>86999</v>
      </c>
      <c r="E52" s="19">
        <f t="shared" si="38"/>
        <v>91041</v>
      </c>
      <c r="F52" s="19">
        <f t="shared" si="38"/>
        <v>92182</v>
      </c>
      <c r="G52" s="19">
        <f t="shared" si="38"/>
        <v>96853</v>
      </c>
      <c r="H52" s="19">
        <f>SUM(H48:H51)</f>
        <v>109662.87099999998</v>
      </c>
      <c r="I52" s="19">
        <f t="shared" ref="I52:L52" si="39">SUM(I48:I51)</f>
        <v>125106.22012849999</v>
      </c>
      <c r="J52" s="19">
        <f t="shared" si="39"/>
        <v>143648.20820437226</v>
      </c>
      <c r="K52" s="19">
        <f t="shared" si="39"/>
        <v>165932.00183272443</v>
      </c>
      <c r="L52" s="19">
        <f t="shared" si="39"/>
        <v>192746.19104978666</v>
      </c>
    </row>
    <row r="53" spans="1:15" x14ac:dyDescent="0.25"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O53" s="59"/>
    </row>
    <row r="54" spans="1:15" x14ac:dyDescent="0.25">
      <c r="B54" s="64" t="s">
        <v>42</v>
      </c>
      <c r="C54" s="108">
        <v>22698</v>
      </c>
      <c r="D54" s="108">
        <v>25424</v>
      </c>
      <c r="E54" s="108">
        <v>30193</v>
      </c>
      <c r="F54" s="108">
        <v>31158</v>
      </c>
      <c r="G54" s="108">
        <v>35234</v>
      </c>
      <c r="H54" s="65">
        <f>H27*H14/H24</f>
        <v>36810.710136986301</v>
      </c>
      <c r="I54" s="65">
        <f t="shared" ref="I54:L54" si="40">I27*I14/I24</f>
        <v>40712.645411506855</v>
      </c>
      <c r="J54" s="65">
        <f t="shared" si="40"/>
        <v>45028.185825126595</v>
      </c>
      <c r="K54" s="65">
        <f t="shared" si="40"/>
        <v>49801.173522590012</v>
      </c>
      <c r="L54" s="65">
        <f t="shared" si="40"/>
        <v>55080.097915984559</v>
      </c>
    </row>
    <row r="55" spans="1:15" x14ac:dyDescent="0.25">
      <c r="B55" s="64" t="s">
        <v>29</v>
      </c>
      <c r="C55" s="108">
        <v>0</v>
      </c>
      <c r="D55" s="108">
        <v>0</v>
      </c>
      <c r="E55" s="108">
        <v>0</v>
      </c>
      <c r="F55" s="108">
        <v>0</v>
      </c>
      <c r="G55" s="108">
        <v>0</v>
      </c>
      <c r="H55" s="108">
        <f>H27*H15/H24</f>
        <v>0</v>
      </c>
      <c r="I55" s="108">
        <f t="shared" ref="I55:L55" si="41">I27*I15/I24</f>
        <v>0</v>
      </c>
      <c r="J55" s="108">
        <f t="shared" si="41"/>
        <v>0</v>
      </c>
      <c r="K55" s="108">
        <f t="shared" si="41"/>
        <v>0</v>
      </c>
      <c r="L55" s="108">
        <f t="shared" si="41"/>
        <v>0</v>
      </c>
    </row>
    <row r="56" spans="1:15" x14ac:dyDescent="0.25">
      <c r="B56" s="64" t="s">
        <v>51</v>
      </c>
      <c r="C56" s="108">
        <v>17472</v>
      </c>
      <c r="D56" s="108">
        <v>12173</v>
      </c>
      <c r="E56" s="108">
        <v>14786</v>
      </c>
      <c r="F56" s="108">
        <v>24455</v>
      </c>
      <c r="G56" s="108">
        <v>22201</v>
      </c>
      <c r="H56" s="65">
        <f>H81</f>
        <v>51146.96167687868</v>
      </c>
      <c r="I56" s="65">
        <f t="shared" ref="I56:L56" si="42">I81</f>
        <v>82709.979425988</v>
      </c>
      <c r="J56" s="65">
        <f t="shared" si="42"/>
        <v>119413.5585889857</v>
      </c>
      <c r="K56" s="65">
        <f t="shared" si="42"/>
        <v>162373.23453877115</v>
      </c>
      <c r="L56" s="65">
        <f t="shared" si="42"/>
        <v>212995.15947701043</v>
      </c>
    </row>
    <row r="57" spans="1:15" x14ac:dyDescent="0.25">
      <c r="B57" s="52" t="s">
        <v>165</v>
      </c>
      <c r="C57" s="19">
        <f>SUM(C54:C56)</f>
        <v>40170</v>
      </c>
      <c r="D57" s="19">
        <f t="shared" ref="D57:G57" si="43">SUM(D54:D56)</f>
        <v>37597</v>
      </c>
      <c r="E57" s="19">
        <f t="shared" si="43"/>
        <v>44979</v>
      </c>
      <c r="F57" s="19">
        <f t="shared" si="43"/>
        <v>55613</v>
      </c>
      <c r="G57" s="19">
        <f t="shared" si="43"/>
        <v>57435</v>
      </c>
      <c r="H57" s="75">
        <f>SUM(H54:H56)</f>
        <v>87957.671813864989</v>
      </c>
      <c r="I57" s="75">
        <f t="shared" ref="I57:L57" si="44">SUM(I54:I56)</f>
        <v>123422.62483749486</v>
      </c>
      <c r="J57" s="75">
        <f t="shared" si="44"/>
        <v>164441.7444141123</v>
      </c>
      <c r="K57" s="75">
        <f t="shared" si="44"/>
        <v>212174.40806136117</v>
      </c>
      <c r="L57" s="75">
        <f t="shared" si="44"/>
        <v>268075.257392995</v>
      </c>
    </row>
    <row r="58" spans="1:15" x14ac:dyDescent="0.25"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</row>
    <row r="59" spans="1:15" x14ac:dyDescent="0.25">
      <c r="B59" s="52" t="s">
        <v>163</v>
      </c>
      <c r="C59" s="19">
        <f>SUM(C52,C57)</f>
        <v>116729</v>
      </c>
      <c r="D59" s="19">
        <f t="shared" ref="D59:G59" si="45">SUM(D52,D57)</f>
        <v>124596</v>
      </c>
      <c r="E59" s="19">
        <f t="shared" si="45"/>
        <v>136020</v>
      </c>
      <c r="F59" s="19">
        <f t="shared" si="45"/>
        <v>147795</v>
      </c>
      <c r="G59" s="19">
        <f t="shared" si="45"/>
        <v>154288</v>
      </c>
      <c r="H59" s="19">
        <f>H57+H52</f>
        <v>197620.54281386497</v>
      </c>
      <c r="I59" s="19">
        <f t="shared" ref="I59:L59" si="46">I57+I52</f>
        <v>248528.84496599485</v>
      </c>
      <c r="J59" s="19">
        <f t="shared" si="46"/>
        <v>308089.95261848456</v>
      </c>
      <c r="K59" s="19">
        <f t="shared" si="46"/>
        <v>378106.40989408561</v>
      </c>
      <c r="L59" s="19">
        <f t="shared" si="46"/>
        <v>460821.44844278169</v>
      </c>
    </row>
    <row r="62" spans="1:15" x14ac:dyDescent="0.25">
      <c r="A62" t="s">
        <v>55</v>
      </c>
      <c r="B62" s="55" t="s">
        <v>82</v>
      </c>
      <c r="C62" s="129"/>
      <c r="D62" s="129"/>
      <c r="E62" s="129"/>
      <c r="F62" s="129"/>
      <c r="G62" s="129"/>
      <c r="H62" s="130"/>
      <c r="I62" s="130"/>
      <c r="J62" s="130"/>
      <c r="K62" s="130"/>
      <c r="L62" s="130"/>
    </row>
    <row r="64" spans="1:15" x14ac:dyDescent="0.25">
      <c r="B64" s="52" t="s">
        <v>17</v>
      </c>
      <c r="C64" s="108">
        <v>23885</v>
      </c>
      <c r="D64" s="108">
        <v>22467</v>
      </c>
      <c r="E64" s="108">
        <v>25210</v>
      </c>
      <c r="F64" s="108">
        <v>35694</v>
      </c>
      <c r="G64" s="108">
        <v>33986</v>
      </c>
      <c r="H64" s="65">
        <f>H65+H66-H67</f>
        <v>37929.949251095015</v>
      </c>
      <c r="I64" s="65">
        <f t="shared" ref="I64:L64" si="47">I65+I66-I67</f>
        <v>40183.882425000396</v>
      </c>
      <c r="J64" s="65">
        <f t="shared" si="47"/>
        <v>44420.837711819608</v>
      </c>
      <c r="K64" s="65">
        <f t="shared" si="47"/>
        <v>49110.234355950699</v>
      </c>
      <c r="L64" s="65">
        <f t="shared" si="47"/>
        <v>54299.540836974651</v>
      </c>
    </row>
    <row r="65" spans="2:12" x14ac:dyDescent="0.25">
      <c r="B65" s="64" t="s">
        <v>192</v>
      </c>
      <c r="C65" s="61"/>
      <c r="D65" s="61"/>
      <c r="E65" s="61"/>
      <c r="F65" s="61"/>
      <c r="G65" s="61"/>
      <c r="H65" s="61">
        <f>H38</f>
        <v>33957.572881232001</v>
      </c>
      <c r="I65" s="61">
        <f t="shared" ref="I65:L65" si="48">I38</f>
        <v>37640.823332294924</v>
      </c>
      <c r="J65" s="61">
        <f t="shared" si="48"/>
        <v>41690.855536918607</v>
      </c>
      <c r="K65" s="61">
        <f t="shared" si="48"/>
        <v>46161.325677850822</v>
      </c>
      <c r="L65" s="61">
        <f t="shared" si="48"/>
        <v>51098.107834254086</v>
      </c>
    </row>
    <row r="66" spans="2:12" x14ac:dyDescent="0.25">
      <c r="B66" s="64" t="s">
        <v>235</v>
      </c>
      <c r="C66" s="61"/>
      <c r="D66" s="61"/>
      <c r="E66" s="61"/>
      <c r="F66" s="61"/>
      <c r="G66" s="61"/>
      <c r="H66" s="61">
        <f>H34</f>
        <v>4981.0749999999998</v>
      </c>
      <c r="I66" s="61">
        <f t="shared" ref="I66:L66" si="49">I34</f>
        <v>5412.1291474999998</v>
      </c>
      <c r="J66" s="61">
        <f t="shared" si="49"/>
        <v>5903.1736555037496</v>
      </c>
      <c r="K66" s="61">
        <f t="shared" si="49"/>
        <v>6458.458455646507</v>
      </c>
      <c r="L66" s="61">
        <f t="shared" si="49"/>
        <v>7082.9950566871421</v>
      </c>
    </row>
    <row r="67" spans="2:12" x14ac:dyDescent="0.25">
      <c r="B67" s="64" t="s">
        <v>236</v>
      </c>
      <c r="C67" s="61"/>
      <c r="D67" s="61"/>
      <c r="E67" s="61"/>
      <c r="F67" s="61"/>
      <c r="G67" s="61"/>
      <c r="H67" s="61">
        <f>H91</f>
        <v>1008.6986301369834</v>
      </c>
      <c r="I67" s="61">
        <f t="shared" ref="I67:L67" si="50">I91</f>
        <v>2869.0700547945271</v>
      </c>
      <c r="J67" s="61">
        <f t="shared" si="50"/>
        <v>3173.1914806027526</v>
      </c>
      <c r="K67" s="61">
        <f t="shared" si="50"/>
        <v>3509.5497775466283</v>
      </c>
      <c r="L67" s="61">
        <f t="shared" si="50"/>
        <v>3881.5620539665761</v>
      </c>
    </row>
    <row r="68" spans="2:12" x14ac:dyDescent="0.25">
      <c r="B68" s="64"/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5">
      <c r="B69" s="52" t="s">
        <v>18</v>
      </c>
      <c r="C69" s="108">
        <v>-6485</v>
      </c>
      <c r="D69" s="108">
        <v>-1071</v>
      </c>
      <c r="E69" s="108">
        <v>-5093</v>
      </c>
      <c r="F69" s="108">
        <v>-1864</v>
      </c>
      <c r="G69" s="108">
        <v>3546</v>
      </c>
      <c r="H69" s="61">
        <f>-H70-H71-H72-H73</f>
        <v>-17790.946</v>
      </c>
      <c r="I69" s="61">
        <f t="shared" ref="I69:L69" si="51">-I70-I71-I72</f>
        <v>-20855.478276000002</v>
      </c>
      <c r="J69" s="61">
        <f t="shared" si="51"/>
        <v>-24445.161731376003</v>
      </c>
      <c r="K69" s="61">
        <f t="shared" si="51"/>
        <v>-28742.252083998697</v>
      </c>
      <c r="L69" s="61">
        <f t="shared" si="51"/>
        <v>-33897.184273749364</v>
      </c>
    </row>
    <row r="70" spans="2:12" x14ac:dyDescent="0.25">
      <c r="B70" s="64" t="s">
        <v>240</v>
      </c>
      <c r="C70" s="64"/>
      <c r="D70" s="64"/>
      <c r="E70" s="64"/>
      <c r="F70" s="64"/>
      <c r="G70" s="64"/>
      <c r="H70" s="61">
        <f>H96</f>
        <v>7903.4760000000015</v>
      </c>
      <c r="I70" s="61">
        <f t="shared" ref="I70:L70" si="52">I96</f>
        <v>8741.2444560000022</v>
      </c>
      <c r="J70" s="61">
        <f t="shared" si="52"/>
        <v>9667.8163683360035</v>
      </c>
      <c r="K70" s="61">
        <f t="shared" si="52"/>
        <v>10692.604903379621</v>
      </c>
      <c r="L70" s="61">
        <f t="shared" si="52"/>
        <v>11826.021023137861</v>
      </c>
    </row>
    <row r="71" spans="2:12" x14ac:dyDescent="0.25">
      <c r="B71" s="64" t="s">
        <v>241</v>
      </c>
      <c r="C71" s="64"/>
      <c r="D71" s="64"/>
      <c r="E71" s="64"/>
      <c r="F71" s="64"/>
      <c r="G71" s="64"/>
      <c r="H71" s="61">
        <f>H50-G50</f>
        <v>590.7599999999984</v>
      </c>
      <c r="I71" s="61">
        <f t="shared" ref="I71:L71" si="53">I50-H50</f>
        <v>606.7105199999969</v>
      </c>
      <c r="J71" s="61">
        <f t="shared" si="53"/>
        <v>623.09170403999815</v>
      </c>
      <c r="K71" s="61">
        <f t="shared" si="53"/>
        <v>639.9151800490763</v>
      </c>
      <c r="L71" s="61">
        <f t="shared" si="53"/>
        <v>657.1928899104023</v>
      </c>
    </row>
    <row r="72" spans="2:12" x14ac:dyDescent="0.25">
      <c r="B72" s="64" t="s">
        <v>242</v>
      </c>
      <c r="C72" s="64"/>
      <c r="D72" s="64"/>
      <c r="E72" s="64"/>
      <c r="F72" s="64"/>
      <c r="G72" s="64"/>
      <c r="H72" s="61">
        <f>H51-G51</f>
        <v>9355.7099999999991</v>
      </c>
      <c r="I72" s="61">
        <f t="shared" ref="I72:L72" si="54">I51-H51</f>
        <v>11507.523300000001</v>
      </c>
      <c r="J72" s="61">
        <f t="shared" si="54"/>
        <v>14154.253659000002</v>
      </c>
      <c r="K72" s="61">
        <f t="shared" si="54"/>
        <v>17409.732000570002</v>
      </c>
      <c r="L72" s="61">
        <f t="shared" si="54"/>
        <v>21413.970360701103</v>
      </c>
    </row>
    <row r="73" spans="2:12" x14ac:dyDescent="0.25">
      <c r="B73" s="64" t="s">
        <v>162</v>
      </c>
      <c r="C73" s="64"/>
      <c r="D73" s="64"/>
      <c r="E73" s="64"/>
      <c r="F73" s="64"/>
      <c r="G73" s="64"/>
      <c r="H73" s="61">
        <f>H49-G49</f>
        <v>-59</v>
      </c>
      <c r="I73" s="61">
        <f t="shared" ref="I73:L73" si="55">I49-H49</f>
        <v>0</v>
      </c>
      <c r="J73" s="61">
        <f t="shared" si="55"/>
        <v>0</v>
      </c>
      <c r="K73" s="61">
        <f t="shared" si="55"/>
        <v>0</v>
      </c>
      <c r="L73" s="61">
        <f t="shared" si="55"/>
        <v>0</v>
      </c>
    </row>
    <row r="74" spans="2:12" x14ac:dyDescent="0.25">
      <c r="B74" s="64" t="s">
        <v>195</v>
      </c>
      <c r="C74" s="64"/>
      <c r="D74" s="64"/>
      <c r="E74" s="64"/>
      <c r="F74" s="64"/>
      <c r="G74" s="64"/>
      <c r="H74" s="64"/>
      <c r="I74" s="64"/>
      <c r="J74" s="64"/>
      <c r="K74" s="64"/>
      <c r="L74" s="64"/>
    </row>
    <row r="75" spans="2:12" x14ac:dyDescent="0.25">
      <c r="B75" s="52" t="s">
        <v>19</v>
      </c>
      <c r="C75" s="108">
        <v>-24642</v>
      </c>
      <c r="D75" s="108">
        <v>-26695</v>
      </c>
      <c r="E75" s="108">
        <v>-17504</v>
      </c>
      <c r="F75" s="108">
        <v>-24161</v>
      </c>
      <c r="G75" s="108">
        <v>-39786</v>
      </c>
      <c r="H75" s="61">
        <f>H76-H77</f>
        <v>8806.9584257836614</v>
      </c>
      <c r="I75" s="61">
        <f t="shared" ref="I75:L75" si="56">I76-I77</f>
        <v>12234.613600108922</v>
      </c>
      <c r="J75" s="61">
        <f t="shared" si="56"/>
        <v>16727.903182554091</v>
      </c>
      <c r="K75" s="61">
        <f t="shared" si="56"/>
        <v>22591.69367783346</v>
      </c>
      <c r="L75" s="61">
        <f t="shared" si="56"/>
        <v>30219.568375013994</v>
      </c>
    </row>
    <row r="76" spans="2:12" x14ac:dyDescent="0.25">
      <c r="B76" s="64" t="s">
        <v>243</v>
      </c>
      <c r="C76" s="64"/>
      <c r="D76" s="64"/>
      <c r="E76" s="64"/>
      <c r="F76" s="64"/>
      <c r="G76" s="64"/>
      <c r="H76" s="61">
        <f>H45-G45</f>
        <v>14549.183999999994</v>
      </c>
      <c r="I76" s="61">
        <f t="shared" ref="I76:L76" si="57">I45-H45</f>
        <v>18599.676825599992</v>
      </c>
      <c r="J76" s="61">
        <f t="shared" si="57"/>
        <v>23777.826853847029</v>
      </c>
      <c r="K76" s="61">
        <f t="shared" si="57"/>
        <v>30397.573849958033</v>
      </c>
      <c r="L76" s="61">
        <f t="shared" si="57"/>
        <v>38860.258409786358</v>
      </c>
    </row>
    <row r="77" spans="2:12" x14ac:dyDescent="0.25">
      <c r="B77" s="64" t="s">
        <v>233</v>
      </c>
      <c r="C77" s="64"/>
      <c r="D77" s="64"/>
      <c r="E77" s="64"/>
      <c r="F77" s="64"/>
      <c r="G77" s="64"/>
      <c r="H77" s="61">
        <f>H110</f>
        <v>5742.2255742163316</v>
      </c>
      <c r="I77" s="61">
        <f t="shared" ref="I77:L77" si="58">I110</f>
        <v>6365.0632254910715</v>
      </c>
      <c r="J77" s="61">
        <f t="shared" si="58"/>
        <v>7049.9236712929369</v>
      </c>
      <c r="K77" s="61">
        <f t="shared" si="58"/>
        <v>7805.8801721245736</v>
      </c>
      <c r="L77" s="61">
        <f t="shared" si="58"/>
        <v>8640.6900347723658</v>
      </c>
    </row>
    <row r="78" spans="2:12" x14ac:dyDescent="0.25"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</row>
    <row r="79" spans="2:12" x14ac:dyDescent="0.25">
      <c r="B79" s="52" t="s">
        <v>20</v>
      </c>
      <c r="C79" s="61">
        <f>SUM(C64,C69,C75)</f>
        <v>-7242</v>
      </c>
      <c r="D79" s="61">
        <f t="shared" ref="D79:G79" si="59">SUM(D64,D69,D75)</f>
        <v>-5299</v>
      </c>
      <c r="E79" s="61">
        <f t="shared" si="59"/>
        <v>2613</v>
      </c>
      <c r="F79" s="61">
        <f t="shared" si="59"/>
        <v>9669</v>
      </c>
      <c r="G79" s="61">
        <f t="shared" si="59"/>
        <v>-2254</v>
      </c>
      <c r="H79" s="65">
        <f>H64+H69+H75</f>
        <v>28945.961676878676</v>
      </c>
      <c r="I79" s="65">
        <f t="shared" ref="I79:L79" si="60">I64+I69+I75</f>
        <v>31563.017749109316</v>
      </c>
      <c r="J79" s="65">
        <f t="shared" si="60"/>
        <v>36703.579162997696</v>
      </c>
      <c r="K79" s="65">
        <f t="shared" si="60"/>
        <v>42959.675949785465</v>
      </c>
      <c r="L79" s="65">
        <f t="shared" si="60"/>
        <v>50621.924938239281</v>
      </c>
    </row>
    <row r="80" spans="2:12" x14ac:dyDescent="0.25">
      <c r="B80" s="64" t="s">
        <v>237</v>
      </c>
      <c r="C80" s="108"/>
      <c r="D80" s="64"/>
      <c r="E80" s="64"/>
      <c r="F80" s="64"/>
      <c r="G80" s="64"/>
      <c r="H80" s="61">
        <f>G56</f>
        <v>22201</v>
      </c>
      <c r="I80" s="61">
        <f>H81</f>
        <v>51146.96167687868</v>
      </c>
      <c r="J80" s="61">
        <f t="shared" ref="J80:L80" si="61">I81</f>
        <v>82709.979425988</v>
      </c>
      <c r="K80" s="61">
        <f t="shared" si="61"/>
        <v>119413.5585889857</v>
      </c>
      <c r="L80" s="61">
        <f t="shared" si="61"/>
        <v>162373.23453877115</v>
      </c>
    </row>
    <row r="81" spans="1:12" x14ac:dyDescent="0.25">
      <c r="B81" s="64" t="s">
        <v>238</v>
      </c>
      <c r="C81" s="65"/>
      <c r="D81" s="64"/>
      <c r="E81" s="64"/>
      <c r="F81" s="64"/>
      <c r="G81" s="61"/>
      <c r="H81" s="65">
        <f>H79+H80</f>
        <v>51146.96167687868</v>
      </c>
      <c r="I81" s="65">
        <f t="shared" ref="I81" si="62">I79+I80</f>
        <v>82709.979425988</v>
      </c>
      <c r="J81" s="65">
        <f t="shared" ref="J81" si="63">J79+J80</f>
        <v>119413.5585889857</v>
      </c>
      <c r="K81" s="65">
        <f t="shared" ref="K81" si="64">K79+K80</f>
        <v>162373.23453877115</v>
      </c>
      <c r="L81" s="65">
        <f t="shared" ref="L81" si="65">L79+L80</f>
        <v>212995.15947701043</v>
      </c>
    </row>
    <row r="84" spans="1:12" x14ac:dyDescent="0.25">
      <c r="A84" t="s">
        <v>55</v>
      </c>
      <c r="B84" s="55" t="s">
        <v>216</v>
      </c>
      <c r="C84" s="129"/>
      <c r="D84" s="129"/>
      <c r="E84" s="129"/>
      <c r="F84" s="129"/>
      <c r="G84" s="129"/>
      <c r="H84" s="130"/>
      <c r="I84" s="130"/>
      <c r="J84" s="130"/>
      <c r="K84" s="130"/>
      <c r="L84" s="130"/>
    </row>
    <row r="86" spans="1:12" x14ac:dyDescent="0.25">
      <c r="B86" s="52" t="s">
        <v>217</v>
      </c>
      <c r="C86" s="64"/>
      <c r="D86" s="64"/>
      <c r="E86" s="64"/>
      <c r="F86" s="64"/>
      <c r="G86" s="64"/>
      <c r="H86" s="64"/>
      <c r="I86" s="64"/>
      <c r="J86" s="64"/>
      <c r="K86" s="64"/>
      <c r="L86" s="64"/>
    </row>
    <row r="87" spans="1:12" x14ac:dyDescent="0.25">
      <c r="B87" s="64" t="s">
        <v>42</v>
      </c>
      <c r="C87" s="65">
        <f>C54</f>
        <v>22698</v>
      </c>
      <c r="D87" s="65">
        <f t="shared" ref="D87:L87" si="66">D54</f>
        <v>25424</v>
      </c>
      <c r="E87" s="65">
        <f t="shared" si="66"/>
        <v>30193</v>
      </c>
      <c r="F87" s="65">
        <f t="shared" si="66"/>
        <v>31158</v>
      </c>
      <c r="G87" s="65">
        <f t="shared" si="66"/>
        <v>35234</v>
      </c>
      <c r="H87" s="65">
        <f t="shared" si="66"/>
        <v>36810.710136986301</v>
      </c>
      <c r="I87" s="65">
        <f t="shared" si="66"/>
        <v>40712.645411506855</v>
      </c>
      <c r="J87" s="65">
        <f t="shared" si="66"/>
        <v>45028.185825126595</v>
      </c>
      <c r="K87" s="65">
        <f t="shared" si="66"/>
        <v>49801.173522590012</v>
      </c>
      <c r="L87" s="65">
        <f t="shared" si="66"/>
        <v>55080.097915984559</v>
      </c>
    </row>
    <row r="88" spans="1:12" x14ac:dyDescent="0.25">
      <c r="B88" s="64" t="s">
        <v>29</v>
      </c>
      <c r="C88" s="65">
        <f>C55</f>
        <v>0</v>
      </c>
      <c r="D88" s="65">
        <f t="shared" ref="D88:L88" si="67">D55</f>
        <v>0</v>
      </c>
      <c r="E88" s="65">
        <f t="shared" si="67"/>
        <v>0</v>
      </c>
      <c r="F88" s="65">
        <f t="shared" si="67"/>
        <v>0</v>
      </c>
      <c r="G88" s="65">
        <f t="shared" si="67"/>
        <v>0</v>
      </c>
      <c r="H88" s="65">
        <f t="shared" si="67"/>
        <v>0</v>
      </c>
      <c r="I88" s="65">
        <f t="shared" si="67"/>
        <v>0</v>
      </c>
      <c r="J88" s="65">
        <f t="shared" si="67"/>
        <v>0</v>
      </c>
      <c r="K88" s="65">
        <f t="shared" si="67"/>
        <v>0</v>
      </c>
      <c r="L88" s="65">
        <f t="shared" si="67"/>
        <v>0</v>
      </c>
    </row>
    <row r="89" spans="1:12" x14ac:dyDescent="0.25">
      <c r="B89" s="64" t="s">
        <v>35</v>
      </c>
      <c r="C89" s="65">
        <f>C44</f>
        <v>5474</v>
      </c>
      <c r="D89" s="65">
        <f t="shared" ref="D89:L89" si="68">D44</f>
        <v>8299</v>
      </c>
      <c r="E89" s="65">
        <f t="shared" si="68"/>
        <v>8359</v>
      </c>
      <c r="F89" s="65">
        <f t="shared" si="68"/>
        <v>8227</v>
      </c>
      <c r="G89" s="65">
        <f t="shared" si="68"/>
        <v>9176</v>
      </c>
      <c r="H89" s="65">
        <f t="shared" si="68"/>
        <v>9744.011506849316</v>
      </c>
      <c r="I89" s="65">
        <f t="shared" si="68"/>
        <v>10776.876726575345</v>
      </c>
      <c r="J89" s="65">
        <f t="shared" si="68"/>
        <v>11919.225659592332</v>
      </c>
      <c r="K89" s="65">
        <f t="shared" si="68"/>
        <v>13182.663579509121</v>
      </c>
      <c r="L89" s="65">
        <f t="shared" si="68"/>
        <v>14580.02591893709</v>
      </c>
    </row>
    <row r="90" spans="1:12" x14ac:dyDescent="0.25">
      <c r="B90" s="52" t="s">
        <v>166</v>
      </c>
      <c r="C90" s="19">
        <f>C87+C88-C89</f>
        <v>17224</v>
      </c>
      <c r="D90" s="19">
        <f t="shared" ref="D90:L90" si="69">D87+D88-D89</f>
        <v>17125</v>
      </c>
      <c r="E90" s="19">
        <f t="shared" si="69"/>
        <v>21834</v>
      </c>
      <c r="F90" s="19">
        <f t="shared" si="69"/>
        <v>22931</v>
      </c>
      <c r="G90" s="19">
        <f t="shared" si="69"/>
        <v>26058</v>
      </c>
      <c r="H90" s="19">
        <f t="shared" si="69"/>
        <v>27066.698630136983</v>
      </c>
      <c r="I90" s="19">
        <f t="shared" si="69"/>
        <v>29935.768684931511</v>
      </c>
      <c r="J90" s="19">
        <f t="shared" si="69"/>
        <v>33108.960165534263</v>
      </c>
      <c r="K90" s="19">
        <f t="shared" si="69"/>
        <v>36618.509943080891</v>
      </c>
      <c r="L90" s="19">
        <f t="shared" si="69"/>
        <v>40500.071997047467</v>
      </c>
    </row>
    <row r="91" spans="1:12" x14ac:dyDescent="0.25">
      <c r="B91" s="52" t="s">
        <v>218</v>
      </c>
      <c r="C91" s="65"/>
      <c r="D91" s="19">
        <f>D90-C90</f>
        <v>-99</v>
      </c>
      <c r="E91" s="19">
        <f t="shared" ref="E91:L91" si="70">E90-D90</f>
        <v>4709</v>
      </c>
      <c r="F91" s="19">
        <f t="shared" si="70"/>
        <v>1097</v>
      </c>
      <c r="G91" s="19">
        <f t="shared" si="70"/>
        <v>3127</v>
      </c>
      <c r="H91" s="19">
        <f t="shared" si="70"/>
        <v>1008.6986301369834</v>
      </c>
      <c r="I91" s="19">
        <f t="shared" si="70"/>
        <v>2869.0700547945271</v>
      </c>
      <c r="J91" s="19">
        <f t="shared" si="70"/>
        <v>3173.1914806027526</v>
      </c>
      <c r="K91" s="19">
        <f t="shared" si="70"/>
        <v>3509.5497775466283</v>
      </c>
      <c r="L91" s="19">
        <f t="shared" si="70"/>
        <v>3881.5620539665761</v>
      </c>
    </row>
    <row r="92" spans="1:12" x14ac:dyDescent="0.25"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</row>
    <row r="93" spans="1:12" x14ac:dyDescent="0.25"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</row>
    <row r="94" spans="1:12" x14ac:dyDescent="0.25">
      <c r="B94" s="52" t="s">
        <v>219</v>
      </c>
      <c r="C94" s="64"/>
      <c r="D94" s="64"/>
      <c r="E94" s="64"/>
      <c r="F94" s="64"/>
      <c r="G94" s="64"/>
      <c r="H94" s="64"/>
      <c r="I94" s="64"/>
      <c r="J94" s="64"/>
      <c r="K94" s="64"/>
      <c r="L94" s="64"/>
    </row>
    <row r="95" spans="1:12" x14ac:dyDescent="0.25">
      <c r="B95" s="64" t="s">
        <v>220</v>
      </c>
      <c r="C95" s="108">
        <v>25505</v>
      </c>
      <c r="D95" s="61">
        <f>C98</f>
        <v>25800</v>
      </c>
      <c r="E95" s="61">
        <f t="shared" ref="E95:G95" si="71">D98</f>
        <v>29225</v>
      </c>
      <c r="F95" s="61">
        <f t="shared" si="71"/>
        <v>27622</v>
      </c>
      <c r="G95" s="61">
        <f t="shared" si="71"/>
        <v>30961</v>
      </c>
      <c r="H95" s="61">
        <f>G98</f>
        <v>33770</v>
      </c>
      <c r="I95" s="61">
        <f t="shared" ref="I95:L95" si="72">H98</f>
        <v>36692.400999999998</v>
      </c>
      <c r="J95" s="61">
        <f t="shared" si="72"/>
        <v>40021.516308500002</v>
      </c>
      <c r="K95" s="61">
        <f t="shared" si="72"/>
        <v>43786.159021332256</v>
      </c>
      <c r="L95" s="61">
        <f t="shared" si="72"/>
        <v>48020.305469065373</v>
      </c>
    </row>
    <row r="96" spans="1:12" x14ac:dyDescent="0.25">
      <c r="B96" s="64" t="s">
        <v>240</v>
      </c>
      <c r="C96" s="65">
        <f>C98-C95+C97</f>
        <v>3771</v>
      </c>
      <c r="D96" s="65">
        <f>D98-D95+D97</f>
        <v>7650</v>
      </c>
      <c r="E96" s="65">
        <f t="shared" ref="E96:G96" si="73">E98-E95+E97</f>
        <v>3075</v>
      </c>
      <c r="F96" s="65">
        <f t="shared" si="73"/>
        <v>8151</v>
      </c>
      <c r="G96" s="65">
        <f t="shared" si="73"/>
        <v>7711</v>
      </c>
      <c r="H96" s="65">
        <f>H17*H27</f>
        <v>7903.4760000000015</v>
      </c>
      <c r="I96" s="65">
        <f t="shared" ref="I96:L96" si="74">I17*I27</f>
        <v>8741.2444560000022</v>
      </c>
      <c r="J96" s="65">
        <f t="shared" si="74"/>
        <v>9667.8163683360035</v>
      </c>
      <c r="K96" s="65">
        <f t="shared" si="74"/>
        <v>10692.604903379621</v>
      </c>
      <c r="L96" s="65">
        <f t="shared" si="74"/>
        <v>11826.021023137861</v>
      </c>
    </row>
    <row r="97" spans="2:14" x14ac:dyDescent="0.25">
      <c r="B97" s="64" t="s">
        <v>5</v>
      </c>
      <c r="C97" s="61">
        <f>C34</f>
        <v>3476</v>
      </c>
      <c r="D97" s="65">
        <f>D34</f>
        <v>4225</v>
      </c>
      <c r="E97" s="65">
        <f t="shared" ref="E97:G97" si="75">E34</f>
        <v>4678</v>
      </c>
      <c r="F97" s="65">
        <f t="shared" si="75"/>
        <v>4812</v>
      </c>
      <c r="G97" s="65">
        <f t="shared" si="75"/>
        <v>4902</v>
      </c>
      <c r="H97" s="65">
        <f>H95*H11</f>
        <v>4981.0749999999998</v>
      </c>
      <c r="I97" s="65">
        <f t="shared" ref="I97:L97" si="76">I95*I11</f>
        <v>5412.1291474999998</v>
      </c>
      <c r="J97" s="65">
        <f t="shared" si="76"/>
        <v>5903.1736555037496</v>
      </c>
      <c r="K97" s="65">
        <f t="shared" si="76"/>
        <v>6458.458455646507</v>
      </c>
      <c r="L97" s="65">
        <f t="shared" si="76"/>
        <v>7082.9950566871421</v>
      </c>
    </row>
    <row r="98" spans="2:14" x14ac:dyDescent="0.25">
      <c r="B98" s="52" t="s">
        <v>221</v>
      </c>
      <c r="C98" s="61">
        <f>C48</f>
        <v>25800</v>
      </c>
      <c r="D98" s="61">
        <f>D48</f>
        <v>29225</v>
      </c>
      <c r="E98" s="61">
        <f t="shared" ref="E98:G98" si="77">E48</f>
        <v>27622</v>
      </c>
      <c r="F98" s="61">
        <f t="shared" si="77"/>
        <v>30961</v>
      </c>
      <c r="G98" s="61">
        <f t="shared" si="77"/>
        <v>33770</v>
      </c>
      <c r="H98" s="61">
        <f>H95-H97+H96</f>
        <v>36692.400999999998</v>
      </c>
      <c r="I98" s="61">
        <f t="shared" ref="I98:L98" si="78">I95-I97+I96</f>
        <v>40021.516308500002</v>
      </c>
      <c r="J98" s="61">
        <f t="shared" si="78"/>
        <v>43786.159021332256</v>
      </c>
      <c r="K98" s="61">
        <f t="shared" si="78"/>
        <v>48020.305469065373</v>
      </c>
      <c r="L98" s="61">
        <f t="shared" si="78"/>
        <v>52763.331435516091</v>
      </c>
    </row>
    <row r="99" spans="2:14" x14ac:dyDescent="0.25">
      <c r="B99" s="64"/>
      <c r="C99" s="64"/>
      <c r="D99" s="104"/>
      <c r="E99" s="64"/>
      <c r="F99" s="64"/>
      <c r="G99" s="64"/>
      <c r="H99" s="64"/>
      <c r="I99" s="64"/>
      <c r="J99" s="64"/>
      <c r="K99" s="64"/>
      <c r="L99" s="64"/>
    </row>
    <row r="100" spans="2:14" x14ac:dyDescent="0.25">
      <c r="B100" s="52" t="s">
        <v>222</v>
      </c>
      <c r="C100" s="64"/>
      <c r="D100" s="64"/>
      <c r="E100" s="64"/>
      <c r="F100" s="64"/>
      <c r="G100" s="64"/>
      <c r="H100" s="64"/>
      <c r="I100" s="64"/>
      <c r="J100" s="64"/>
      <c r="K100" s="64"/>
      <c r="L100" s="64"/>
    </row>
    <row r="101" spans="2:14" x14ac:dyDescent="0.25">
      <c r="B101" s="64" t="s">
        <v>223</v>
      </c>
      <c r="C101" s="108">
        <v>5325</v>
      </c>
      <c r="D101" s="61">
        <f>C103</f>
        <v>5474</v>
      </c>
      <c r="E101" s="61">
        <f t="shared" ref="E101:G101" si="79">D103</f>
        <v>8299</v>
      </c>
      <c r="F101" s="61">
        <f t="shared" si="79"/>
        <v>8359</v>
      </c>
      <c r="G101" s="61">
        <f t="shared" si="79"/>
        <v>8227</v>
      </c>
      <c r="H101" s="61">
        <f>G103</f>
        <v>9176</v>
      </c>
      <c r="I101" s="61">
        <f t="shared" ref="I101:L101" si="80">H103</f>
        <v>9744.011506849316</v>
      </c>
      <c r="J101" s="61">
        <f t="shared" si="80"/>
        <v>10776.876726575345</v>
      </c>
      <c r="K101" s="61">
        <f t="shared" si="80"/>
        <v>11919.225659592332</v>
      </c>
      <c r="L101" s="61">
        <f t="shared" si="80"/>
        <v>13182.663579509121</v>
      </c>
    </row>
    <row r="102" spans="2:14" x14ac:dyDescent="0.25">
      <c r="B102" s="52" t="s">
        <v>257</v>
      </c>
      <c r="C102" s="65">
        <f>C103-C101</f>
        <v>149</v>
      </c>
      <c r="D102" s="65">
        <f>D103-D101</f>
        <v>2825</v>
      </c>
      <c r="E102" s="65">
        <f t="shared" ref="E102:G102" si="81">E103-E101</f>
        <v>60</v>
      </c>
      <c r="F102" s="65">
        <f t="shared" si="81"/>
        <v>-132</v>
      </c>
      <c r="G102" s="65">
        <f t="shared" si="81"/>
        <v>949</v>
      </c>
      <c r="H102" s="65">
        <f>H103-H101</f>
        <v>568.01150684931599</v>
      </c>
      <c r="I102" s="65">
        <f t="shared" ref="I102:L102" si="82">I103-I101</f>
        <v>1032.865219726029</v>
      </c>
      <c r="J102" s="65">
        <f t="shared" si="82"/>
        <v>1142.3489330169868</v>
      </c>
      <c r="K102" s="65">
        <f t="shared" si="82"/>
        <v>1263.4379199167888</v>
      </c>
      <c r="L102" s="65">
        <f t="shared" si="82"/>
        <v>1397.3623394279693</v>
      </c>
    </row>
    <row r="103" spans="2:14" x14ac:dyDescent="0.25">
      <c r="B103" s="64" t="s">
        <v>224</v>
      </c>
      <c r="C103" s="61">
        <f>C44</f>
        <v>5474</v>
      </c>
      <c r="D103" s="61">
        <f>D44</f>
        <v>8299</v>
      </c>
      <c r="E103" s="61">
        <f t="shared" ref="E103:G103" si="83">E44</f>
        <v>8359</v>
      </c>
      <c r="F103" s="61">
        <f t="shared" si="83"/>
        <v>8227</v>
      </c>
      <c r="G103" s="61">
        <f t="shared" si="83"/>
        <v>9176</v>
      </c>
      <c r="H103" s="61">
        <f>H44</f>
        <v>9744.011506849316</v>
      </c>
      <c r="I103" s="61">
        <f t="shared" ref="I103:L103" si="84">I44</f>
        <v>10776.876726575345</v>
      </c>
      <c r="J103" s="61">
        <f t="shared" si="84"/>
        <v>11919.225659592332</v>
      </c>
      <c r="K103" s="61">
        <f t="shared" si="84"/>
        <v>13182.663579509121</v>
      </c>
      <c r="L103" s="61">
        <f t="shared" si="84"/>
        <v>14580.02591893709</v>
      </c>
    </row>
    <row r="104" spans="2:14" x14ac:dyDescent="0.25">
      <c r="B104" s="64" t="s">
        <v>225</v>
      </c>
      <c r="C104" s="61">
        <f>C35</f>
        <v>200</v>
      </c>
      <c r="D104" s="61">
        <f>D35</f>
        <v>284</v>
      </c>
      <c r="E104" s="61">
        <f t="shared" ref="E104:G104" si="85">E35</f>
        <v>470</v>
      </c>
      <c r="F104" s="61">
        <f t="shared" si="85"/>
        <v>416</v>
      </c>
      <c r="G104" s="61">
        <f t="shared" si="85"/>
        <v>416</v>
      </c>
      <c r="H104" s="61">
        <f>H101*H105</f>
        <v>412.91999999999996</v>
      </c>
      <c r="I104" s="61">
        <f t="shared" ref="I104:L104" si="86">I101*I105</f>
        <v>438.48051780821919</v>
      </c>
      <c r="J104" s="61">
        <f t="shared" si="86"/>
        <v>484.95945269589049</v>
      </c>
      <c r="K104" s="61">
        <f t="shared" si="86"/>
        <v>536.36515468165487</v>
      </c>
      <c r="L104" s="61">
        <f t="shared" si="86"/>
        <v>593.21986107791042</v>
      </c>
      <c r="N104" s="51"/>
    </row>
    <row r="105" spans="2:14" x14ac:dyDescent="0.25">
      <c r="B105" s="64" t="s">
        <v>226</v>
      </c>
      <c r="C105" s="99">
        <f>C104/C101</f>
        <v>3.7558685446009391E-2</v>
      </c>
      <c r="D105" s="99">
        <f>D104/D101</f>
        <v>5.1881622214103029E-2</v>
      </c>
      <c r="E105" s="99">
        <f t="shared" ref="E105:G105" si="87">E104/E101</f>
        <v>5.6633329316785157E-2</v>
      </c>
      <c r="F105" s="99">
        <f t="shared" si="87"/>
        <v>4.9766718506998445E-2</v>
      </c>
      <c r="G105" s="99">
        <f t="shared" si="87"/>
        <v>5.0565212106478664E-2</v>
      </c>
      <c r="H105" s="99">
        <f>H12</f>
        <v>4.4999999999999998E-2</v>
      </c>
      <c r="I105" s="99">
        <f t="shared" ref="I105:L105" si="88">I12</f>
        <v>4.4999999999999998E-2</v>
      </c>
      <c r="J105" s="99">
        <f t="shared" si="88"/>
        <v>4.4999999999999998E-2</v>
      </c>
      <c r="K105" s="99">
        <f t="shared" si="88"/>
        <v>4.4999999999999998E-2</v>
      </c>
      <c r="L105" s="99">
        <f t="shared" si="88"/>
        <v>4.4999999999999998E-2</v>
      </c>
    </row>
    <row r="106" spans="2:14" x14ac:dyDescent="0.25"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</row>
    <row r="107" spans="2:14" x14ac:dyDescent="0.25">
      <c r="B107" s="52" t="s">
        <v>230</v>
      </c>
      <c r="C107" s="64"/>
      <c r="D107" s="64"/>
      <c r="E107" s="64"/>
      <c r="F107" s="64"/>
      <c r="G107" s="64"/>
      <c r="H107" s="64"/>
      <c r="I107" s="64"/>
      <c r="J107" s="64"/>
      <c r="K107" s="64"/>
      <c r="L107" s="64"/>
    </row>
    <row r="108" spans="2:14" x14ac:dyDescent="0.25">
      <c r="B108" s="64" t="s">
        <v>231</v>
      </c>
      <c r="C108" s="108">
        <v>74227</v>
      </c>
      <c r="D108" s="65">
        <f>C111</f>
        <v>73252</v>
      </c>
      <c r="E108" s="65">
        <f t="shared" ref="E108:G108" si="89">D111</f>
        <v>73338</v>
      </c>
      <c r="F108" s="65">
        <f t="shared" si="89"/>
        <v>86045</v>
      </c>
      <c r="G108" s="65">
        <f t="shared" si="89"/>
        <v>93745</v>
      </c>
      <c r="H108" s="65">
        <f>G111</f>
        <v>90828</v>
      </c>
      <c r="I108" s="65">
        <f t="shared" ref="I108:L108" si="90">H111</f>
        <v>119043.34730701568</v>
      </c>
      <c r="J108" s="65">
        <f t="shared" si="90"/>
        <v>150319.10741381955</v>
      </c>
      <c r="K108" s="65">
        <f t="shared" si="90"/>
        <v>184960.03927944522</v>
      </c>
      <c r="L108" s="65">
        <f t="shared" si="90"/>
        <v>223315.48478517149</v>
      </c>
    </row>
    <row r="109" spans="2:14" x14ac:dyDescent="0.25">
      <c r="B109" s="64" t="s">
        <v>232</v>
      </c>
      <c r="C109" s="65">
        <f>C38</f>
        <v>22146</v>
      </c>
      <c r="D109" s="65">
        <f>D38</f>
        <v>24108</v>
      </c>
      <c r="E109" s="65">
        <f t="shared" ref="E109:H109" si="91">E38</f>
        <v>26248</v>
      </c>
      <c r="F109" s="65">
        <f t="shared" si="91"/>
        <v>26750</v>
      </c>
      <c r="G109" s="65">
        <f t="shared" si="91"/>
        <v>29474</v>
      </c>
      <c r="H109" s="65">
        <f t="shared" si="91"/>
        <v>33957.572881232001</v>
      </c>
      <c r="I109" s="65">
        <f t="shared" ref="I109:L109" si="92">I38</f>
        <v>37640.823332294924</v>
      </c>
      <c r="J109" s="65">
        <f t="shared" si="92"/>
        <v>41690.855536918607</v>
      </c>
      <c r="K109" s="65">
        <f t="shared" si="92"/>
        <v>46161.325677850822</v>
      </c>
      <c r="L109" s="65">
        <f t="shared" si="92"/>
        <v>51098.107834254086</v>
      </c>
    </row>
    <row r="110" spans="2:14" x14ac:dyDescent="0.25">
      <c r="B110" s="64" t="s">
        <v>233</v>
      </c>
      <c r="C110" s="65"/>
      <c r="D110" s="65">
        <f>D111-D108</f>
        <v>86</v>
      </c>
      <c r="E110" s="65">
        <f t="shared" ref="E110:G110" si="93">E111-E108</f>
        <v>12707</v>
      </c>
      <c r="F110" s="65">
        <f t="shared" si="93"/>
        <v>7700</v>
      </c>
      <c r="G110" s="65">
        <f t="shared" si="93"/>
        <v>-2917</v>
      </c>
      <c r="H110" s="65">
        <f>H109*H112</f>
        <v>5742.2255742163316</v>
      </c>
      <c r="I110" s="65">
        <f t="shared" ref="I110:L110" si="94">I109*I112</f>
        <v>6365.0632254910715</v>
      </c>
      <c r="J110" s="65">
        <f t="shared" si="94"/>
        <v>7049.9236712929369</v>
      </c>
      <c r="K110" s="65">
        <f t="shared" si="94"/>
        <v>7805.8801721245736</v>
      </c>
      <c r="L110" s="65">
        <f t="shared" si="94"/>
        <v>8640.6900347723658</v>
      </c>
    </row>
    <row r="111" spans="2:14" x14ac:dyDescent="0.25">
      <c r="B111" s="52" t="s">
        <v>234</v>
      </c>
      <c r="C111" s="19">
        <f>C43</f>
        <v>73252</v>
      </c>
      <c r="D111" s="19">
        <f>D43</f>
        <v>73338</v>
      </c>
      <c r="E111" s="19">
        <f t="shared" ref="E111:G111" si="95">E43</f>
        <v>86045</v>
      </c>
      <c r="F111" s="19">
        <f t="shared" si="95"/>
        <v>93745</v>
      </c>
      <c r="G111" s="19">
        <f t="shared" si="95"/>
        <v>90828</v>
      </c>
      <c r="H111" s="19">
        <f>H108+H109-H110</f>
        <v>119043.34730701568</v>
      </c>
      <c r="I111" s="19">
        <f t="shared" ref="I111:L111" si="96">I108+I109-I110</f>
        <v>150319.10741381955</v>
      </c>
      <c r="J111" s="19">
        <f t="shared" si="96"/>
        <v>184960.03927944522</v>
      </c>
      <c r="K111" s="19">
        <f t="shared" si="96"/>
        <v>223315.48478517149</v>
      </c>
      <c r="L111" s="19">
        <f t="shared" si="96"/>
        <v>265772.90258465317</v>
      </c>
    </row>
    <row r="112" spans="2:14" x14ac:dyDescent="0.25">
      <c r="B112" s="52" t="s">
        <v>77</v>
      </c>
      <c r="C112" s="65"/>
      <c r="D112" s="50">
        <f>D110/D109</f>
        <v>3.5672805707648914E-3</v>
      </c>
      <c r="E112" s="50">
        <f t="shared" ref="E112:G112" si="97">E110/E109</f>
        <v>0.48411307528192626</v>
      </c>
      <c r="F112" s="50">
        <f t="shared" si="97"/>
        <v>0.28785046728971964</v>
      </c>
      <c r="G112" s="50">
        <f t="shared" si="97"/>
        <v>-9.8968582479473433E-2</v>
      </c>
      <c r="H112" s="50">
        <f>H23</f>
        <v>0.1691</v>
      </c>
      <c r="I112" s="50">
        <f t="shared" ref="I112:L112" si="98">I23</f>
        <v>0.1691</v>
      </c>
      <c r="J112" s="50">
        <f t="shared" si="98"/>
        <v>0.1691</v>
      </c>
      <c r="K112" s="50">
        <f t="shared" si="98"/>
        <v>0.1691</v>
      </c>
      <c r="L112" s="50">
        <f t="shared" si="98"/>
        <v>0.1691</v>
      </c>
    </row>
    <row r="114" spans="1:12" x14ac:dyDescent="0.25">
      <c r="A114" t="s">
        <v>55</v>
      </c>
      <c r="B114" s="55" t="s">
        <v>244</v>
      </c>
      <c r="C114" s="129"/>
      <c r="D114" s="129"/>
      <c r="E114" s="129"/>
      <c r="F114" s="129"/>
      <c r="G114" s="129"/>
      <c r="H114" s="130"/>
      <c r="I114" s="130"/>
      <c r="J114" s="130"/>
      <c r="K114" s="130"/>
      <c r="L114" s="130"/>
    </row>
    <row r="115" spans="1:12" x14ac:dyDescent="0.25">
      <c r="B115" t="s">
        <v>250</v>
      </c>
      <c r="C115" s="109">
        <v>44651</v>
      </c>
      <c r="D115" s="109">
        <v>45016</v>
      </c>
      <c r="E115" s="109">
        <v>45382</v>
      </c>
      <c r="F115" s="109">
        <v>45747</v>
      </c>
      <c r="G115" s="109">
        <v>46112</v>
      </c>
      <c r="H115" s="109">
        <v>46477</v>
      </c>
      <c r="I115" s="109">
        <v>46842</v>
      </c>
      <c r="J115" s="109">
        <v>47207</v>
      </c>
      <c r="K115" s="109">
        <v>47572</v>
      </c>
      <c r="L115" s="109">
        <v>47937</v>
      </c>
    </row>
    <row r="116" spans="1:12" x14ac:dyDescent="0.25">
      <c r="B116" t="s">
        <v>245</v>
      </c>
      <c r="C116" s="59">
        <f>C27</f>
        <v>121641</v>
      </c>
      <c r="D116" s="59">
        <f t="shared" ref="D116:L116" si="99">D27</f>
        <v>146767</v>
      </c>
      <c r="E116" s="59">
        <f t="shared" si="99"/>
        <v>153670</v>
      </c>
      <c r="F116" s="59">
        <f t="shared" si="99"/>
        <v>162990</v>
      </c>
      <c r="G116" s="59">
        <f t="shared" si="99"/>
        <v>178650</v>
      </c>
      <c r="H116" s="59">
        <f t="shared" si="99"/>
        <v>197586.90000000002</v>
      </c>
      <c r="I116" s="59">
        <f t="shared" si="99"/>
        <v>218531.11140000005</v>
      </c>
      <c r="J116" s="59">
        <f t="shared" si="99"/>
        <v>241695.40920840009</v>
      </c>
      <c r="K116" s="59">
        <f t="shared" si="99"/>
        <v>267315.12258449051</v>
      </c>
      <c r="L116" s="59">
        <f t="shared" si="99"/>
        <v>295650.52557844651</v>
      </c>
    </row>
    <row r="117" spans="1:12" x14ac:dyDescent="0.25">
      <c r="B117" t="s">
        <v>246</v>
      </c>
      <c r="C117" s="13">
        <f>C29/C27</f>
        <v>0.30271043480405457</v>
      </c>
      <c r="D117" s="13">
        <f t="shared" ref="D117:L117" si="100">D29/D27</f>
        <v>0.28539794367943749</v>
      </c>
      <c r="E117" s="13">
        <f t="shared" si="100"/>
        <v>0.28398516301164833</v>
      </c>
      <c r="F117" s="13">
        <f t="shared" si="100"/>
        <v>0.2847107184489846</v>
      </c>
      <c r="G117" s="13">
        <f t="shared" si="100"/>
        <v>0.28207668625804644</v>
      </c>
      <c r="H117" s="13">
        <f t="shared" si="100"/>
        <v>0.2878</v>
      </c>
      <c r="I117" s="13">
        <f t="shared" si="100"/>
        <v>0.28779999999999994</v>
      </c>
      <c r="J117" s="13">
        <f t="shared" si="100"/>
        <v>0.2878</v>
      </c>
      <c r="K117" s="13">
        <f t="shared" si="100"/>
        <v>0.28779999999999994</v>
      </c>
      <c r="L117" s="13">
        <f t="shared" si="100"/>
        <v>0.28779999999999994</v>
      </c>
    </row>
    <row r="118" spans="1:12" x14ac:dyDescent="0.25">
      <c r="C118" s="13"/>
      <c r="D118" s="13"/>
      <c r="E118" s="13"/>
      <c r="F118" s="13"/>
      <c r="G118" s="13"/>
      <c r="H118" s="13"/>
      <c r="I118" s="13"/>
      <c r="J118" s="13"/>
      <c r="K118" s="13"/>
      <c r="L118" s="13"/>
    </row>
    <row r="119" spans="1:12" x14ac:dyDescent="0.25">
      <c r="B119" t="s">
        <v>250</v>
      </c>
      <c r="C119" s="109">
        <v>44651</v>
      </c>
      <c r="D119" s="109">
        <v>45016</v>
      </c>
      <c r="E119" s="109">
        <v>45382</v>
      </c>
      <c r="F119" s="109">
        <v>45747</v>
      </c>
      <c r="G119" s="109">
        <v>46112</v>
      </c>
      <c r="H119" s="109">
        <v>46477</v>
      </c>
      <c r="I119" s="109">
        <v>46842</v>
      </c>
      <c r="J119" s="109">
        <v>47207</v>
      </c>
      <c r="K119" s="109">
        <v>47572</v>
      </c>
      <c r="L119" s="109">
        <v>47937</v>
      </c>
    </row>
    <row r="120" spans="1:12" x14ac:dyDescent="0.25">
      <c r="B120" t="s">
        <v>247</v>
      </c>
      <c r="C120" s="14">
        <f>C64</f>
        <v>23885</v>
      </c>
      <c r="D120" s="14">
        <f t="shared" ref="D120:L120" si="101">D64</f>
        <v>22467</v>
      </c>
      <c r="E120" s="14">
        <f t="shared" si="101"/>
        <v>25210</v>
      </c>
      <c r="F120" s="14">
        <f t="shared" si="101"/>
        <v>35694</v>
      </c>
      <c r="G120" s="14">
        <f t="shared" si="101"/>
        <v>33986</v>
      </c>
      <c r="H120" s="14">
        <f t="shared" si="101"/>
        <v>37929.949251095015</v>
      </c>
      <c r="I120" s="14">
        <f t="shared" si="101"/>
        <v>40183.882425000396</v>
      </c>
      <c r="J120" s="14">
        <f t="shared" si="101"/>
        <v>44420.837711819608</v>
      </c>
      <c r="K120" s="14">
        <f t="shared" si="101"/>
        <v>49110.234355950699</v>
      </c>
      <c r="L120" s="14">
        <f t="shared" si="101"/>
        <v>54299.540836974651</v>
      </c>
    </row>
    <row r="121" spans="1:12" x14ac:dyDescent="0.25">
      <c r="B121" t="s">
        <v>248</v>
      </c>
      <c r="C121" s="14">
        <f>C69</f>
        <v>-6485</v>
      </c>
      <c r="D121" s="14">
        <f t="shared" ref="D121:L121" si="102">D69</f>
        <v>-1071</v>
      </c>
      <c r="E121" s="14">
        <f t="shared" si="102"/>
        <v>-5093</v>
      </c>
      <c r="F121" s="14">
        <f t="shared" si="102"/>
        <v>-1864</v>
      </c>
      <c r="G121" s="14">
        <f t="shared" si="102"/>
        <v>3546</v>
      </c>
      <c r="H121" s="14">
        <f t="shared" si="102"/>
        <v>-17790.946</v>
      </c>
      <c r="I121" s="14">
        <f t="shared" si="102"/>
        <v>-20855.478276000002</v>
      </c>
      <c r="J121" s="14">
        <f t="shared" si="102"/>
        <v>-24445.161731376003</v>
      </c>
      <c r="K121" s="14">
        <f t="shared" si="102"/>
        <v>-28742.252083998697</v>
      </c>
      <c r="L121" s="14">
        <f t="shared" si="102"/>
        <v>-33897.184273749364</v>
      </c>
    </row>
    <row r="122" spans="1:12" x14ac:dyDescent="0.25">
      <c r="B122" t="s">
        <v>249</v>
      </c>
      <c r="C122" s="14">
        <f>C75</f>
        <v>-24642</v>
      </c>
      <c r="D122" s="14">
        <f t="shared" ref="D122:L122" si="103">D75</f>
        <v>-26695</v>
      </c>
      <c r="E122" s="14">
        <f t="shared" si="103"/>
        <v>-17504</v>
      </c>
      <c r="F122" s="14">
        <f t="shared" si="103"/>
        <v>-24161</v>
      </c>
      <c r="G122" s="14">
        <f t="shared" si="103"/>
        <v>-39786</v>
      </c>
      <c r="H122" s="14">
        <f t="shared" si="103"/>
        <v>8806.9584257836614</v>
      </c>
      <c r="I122" s="14">
        <f t="shared" si="103"/>
        <v>12234.613600108922</v>
      </c>
      <c r="J122" s="14">
        <f t="shared" si="103"/>
        <v>16727.903182554091</v>
      </c>
      <c r="K122" s="14">
        <f t="shared" si="103"/>
        <v>22591.69367783346</v>
      </c>
      <c r="L122" s="14">
        <f t="shared" si="103"/>
        <v>30219.568375013994</v>
      </c>
    </row>
  </sheetData>
  <mergeCells count="15">
    <mergeCell ref="C114:G114"/>
    <mergeCell ref="H114:L114"/>
    <mergeCell ref="C84:G84"/>
    <mergeCell ref="H84:L84"/>
    <mergeCell ref="C2:G2"/>
    <mergeCell ref="H2:L2"/>
    <mergeCell ref="C62:G62"/>
    <mergeCell ref="H62:L62"/>
    <mergeCell ref="B2:B3"/>
    <mergeCell ref="C26:G26"/>
    <mergeCell ref="H26:L26"/>
    <mergeCell ref="C41:G41"/>
    <mergeCell ref="H41:L41"/>
    <mergeCell ref="C6:G6"/>
    <mergeCell ref="H6:L6"/>
  </mergeCells>
  <pageMargins left="0.7" right="0.7" top="0.75" bottom="0.75" header="0.3" footer="0.3"/>
  <pageSetup scale="5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4B726-DBFF-4EED-B34E-A5875C6B5436}">
  <sheetPr>
    <pageSetUpPr fitToPage="1"/>
  </sheetPr>
  <dimension ref="B2:P30"/>
  <sheetViews>
    <sheetView showGridLines="0" topLeftCell="A2" zoomScaleNormal="100" workbookViewId="0">
      <selection activeCell="L20" sqref="L20"/>
    </sheetView>
  </sheetViews>
  <sheetFormatPr defaultRowHeight="15" x14ac:dyDescent="0.25"/>
  <cols>
    <col min="1" max="1" width="2" customWidth="1"/>
    <col min="2" max="2" width="5.7109375" bestFit="1" customWidth="1"/>
    <col min="3" max="3" width="19.42578125" bestFit="1" customWidth="1"/>
    <col min="4" max="4" width="12.42578125" customWidth="1"/>
    <col min="5" max="5" width="15.7109375" customWidth="1"/>
    <col min="6" max="6" width="13.85546875" customWidth="1"/>
    <col min="7" max="7" width="18" customWidth="1"/>
    <col min="8" max="8" width="11.7109375" bestFit="1" customWidth="1"/>
    <col min="9" max="9" width="11.42578125" customWidth="1"/>
    <col min="10" max="10" width="10.28515625" customWidth="1"/>
    <col min="11" max="11" width="14" customWidth="1"/>
    <col min="12" max="14" width="12.5703125" bestFit="1" customWidth="1"/>
    <col min="16" max="16" width="11.28515625" bestFit="1" customWidth="1"/>
  </cols>
  <sheetData>
    <row r="2" spans="2:16" x14ac:dyDescent="0.25">
      <c r="B2" s="131" t="s">
        <v>258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</row>
    <row r="3" spans="2:16" x14ac:dyDescent="0.25">
      <c r="B3" s="56" t="s">
        <v>159</v>
      </c>
      <c r="C3" s="56" t="s">
        <v>160</v>
      </c>
      <c r="D3" s="56" t="s">
        <v>193</v>
      </c>
      <c r="E3" s="56" t="s">
        <v>194</v>
      </c>
      <c r="F3" s="57" t="s">
        <v>189</v>
      </c>
      <c r="G3" s="58" t="s">
        <v>254</v>
      </c>
      <c r="H3" s="58" t="s">
        <v>190</v>
      </c>
      <c r="I3" s="58" t="s">
        <v>191</v>
      </c>
      <c r="J3" s="58" t="s">
        <v>65</v>
      </c>
      <c r="K3" s="56" t="s">
        <v>192</v>
      </c>
      <c r="L3" s="58" t="s">
        <v>196</v>
      </c>
      <c r="M3" s="58" t="s">
        <v>188</v>
      </c>
      <c r="N3" s="58" t="s">
        <v>197</v>
      </c>
    </row>
    <row r="4" spans="2:16" x14ac:dyDescent="0.25">
      <c r="B4" s="60">
        <v>1</v>
      </c>
      <c r="C4" s="60" t="s">
        <v>270</v>
      </c>
      <c r="D4" s="61">
        <v>2287</v>
      </c>
      <c r="E4" s="62">
        <v>361.81</v>
      </c>
      <c r="F4" s="61">
        <f>D4*E4</f>
        <v>827459.47</v>
      </c>
      <c r="G4" s="61">
        <v>825831.66</v>
      </c>
      <c r="H4" s="61">
        <f>G4-F4</f>
        <v>-1627.8099999999395</v>
      </c>
      <c r="I4" s="61">
        <v>275859</v>
      </c>
      <c r="J4" s="61">
        <f>G4/M4</f>
        <v>78352.149905123355</v>
      </c>
      <c r="K4" s="61">
        <v>78389</v>
      </c>
      <c r="L4" s="63">
        <f>G4/I4</f>
        <v>2.9936730721129274</v>
      </c>
      <c r="M4" s="63">
        <v>10.54</v>
      </c>
      <c r="N4" s="63">
        <f>F4/K4</f>
        <v>10.555811019403233</v>
      </c>
      <c r="P4" s="59"/>
    </row>
    <row r="5" spans="2:16" x14ac:dyDescent="0.25">
      <c r="B5" s="66">
        <v>2</v>
      </c>
      <c r="C5" s="66" t="s">
        <v>269</v>
      </c>
      <c r="D5" s="67">
        <v>1115.3</v>
      </c>
      <c r="E5" s="68">
        <v>405.81</v>
      </c>
      <c r="F5" s="67">
        <f t="shared" ref="F5:F10" si="0">D5*E5</f>
        <v>452599.89299999998</v>
      </c>
      <c r="G5" s="67">
        <v>439687.04</v>
      </c>
      <c r="H5" s="67">
        <f t="shared" ref="H5:H10" si="1">G5-F5</f>
        <v>-12912.853000000003</v>
      </c>
      <c r="I5" s="67">
        <v>184582</v>
      </c>
      <c r="J5" s="67">
        <f t="shared" ref="J5:J10" si="2">G5/M5</f>
        <v>48000.768558951961</v>
      </c>
      <c r="K5" s="67">
        <v>48009</v>
      </c>
      <c r="L5" s="69">
        <f t="shared" ref="L5:L10" si="3">G5/I5</f>
        <v>2.3820688907910847</v>
      </c>
      <c r="M5" s="69">
        <v>9.16</v>
      </c>
      <c r="N5" s="69">
        <f t="shared" ref="N5:N10" si="4">F5/K5</f>
        <v>9.4273968005998867</v>
      </c>
      <c r="P5" s="59"/>
    </row>
    <row r="6" spans="2:16" x14ac:dyDescent="0.25">
      <c r="B6" s="60">
        <v>3</v>
      </c>
      <c r="C6" s="60" t="s">
        <v>271</v>
      </c>
      <c r="D6" s="61">
        <v>1298.9000000000001</v>
      </c>
      <c r="E6" s="62">
        <v>271.37</v>
      </c>
      <c r="F6" s="61">
        <f t="shared" si="0"/>
        <v>352482.49300000002</v>
      </c>
      <c r="G6" s="61">
        <v>334267.96000000002</v>
      </c>
      <c r="H6" s="61">
        <f t="shared" si="1"/>
        <v>-18214.532999999996</v>
      </c>
      <c r="I6" s="61">
        <v>134374</v>
      </c>
      <c r="J6" s="61">
        <f t="shared" si="2"/>
        <v>29016.315972222226</v>
      </c>
      <c r="K6" s="61">
        <v>29022</v>
      </c>
      <c r="L6" s="63">
        <f t="shared" si="3"/>
        <v>2.4875940286067246</v>
      </c>
      <c r="M6" s="63">
        <v>11.52</v>
      </c>
      <c r="N6" s="63">
        <f t="shared" si="4"/>
        <v>12.145355006546758</v>
      </c>
    </row>
    <row r="7" spans="2:16" x14ac:dyDescent="0.25">
      <c r="B7" s="60">
        <v>4</v>
      </c>
      <c r="C7" s="60" t="s">
        <v>273</v>
      </c>
      <c r="D7" s="61">
        <v>1586</v>
      </c>
      <c r="E7" s="62">
        <v>98.01</v>
      </c>
      <c r="F7" s="61">
        <f t="shared" si="0"/>
        <v>155443.86000000002</v>
      </c>
      <c r="G7" s="61">
        <v>152522.26999999999</v>
      </c>
      <c r="H7" s="61">
        <f t="shared" si="1"/>
        <v>-2921.5900000000256</v>
      </c>
      <c r="I7" s="61">
        <v>59176.1</v>
      </c>
      <c r="J7" s="61">
        <f t="shared" si="2"/>
        <v>9544.5725907384222</v>
      </c>
      <c r="K7" s="61">
        <v>9542.2999999999993</v>
      </c>
      <c r="L7" s="63">
        <f t="shared" si="3"/>
        <v>2.5774302463325562</v>
      </c>
      <c r="M7" s="63">
        <v>15.98</v>
      </c>
      <c r="N7" s="63">
        <f t="shared" si="4"/>
        <v>16.289978307116737</v>
      </c>
    </row>
    <row r="8" spans="2:16" x14ac:dyDescent="0.25">
      <c r="B8" s="60">
        <v>5</v>
      </c>
      <c r="C8" s="60" t="s">
        <v>272</v>
      </c>
      <c r="D8" s="61">
        <v>179.15</v>
      </c>
      <c r="E8" s="62">
        <v>990.45</v>
      </c>
      <c r="F8" s="61">
        <f t="shared" si="0"/>
        <v>177439.11750000002</v>
      </c>
      <c r="G8" s="61">
        <v>187175.3</v>
      </c>
      <c r="H8" s="61">
        <f t="shared" si="1"/>
        <v>9736.1824999999662</v>
      </c>
      <c r="I8" s="61">
        <v>94968</v>
      </c>
      <c r="J8" s="61">
        <f t="shared" si="2"/>
        <v>22020.623529411765</v>
      </c>
      <c r="K8" s="61">
        <v>22017.7</v>
      </c>
      <c r="L8" s="63">
        <f t="shared" si="3"/>
        <v>1.9709302080700866</v>
      </c>
      <c r="M8" s="63">
        <v>8.5</v>
      </c>
      <c r="N8" s="63">
        <f t="shared" si="4"/>
        <v>8.0589306557905687</v>
      </c>
    </row>
    <row r="9" spans="2:16" x14ac:dyDescent="0.25">
      <c r="B9" s="60">
        <v>6</v>
      </c>
      <c r="C9" s="60" t="s">
        <v>274</v>
      </c>
      <c r="D9" s="61">
        <v>4637.5</v>
      </c>
      <c r="E9" s="62">
        <v>29.66</v>
      </c>
      <c r="F9" s="61">
        <f t="shared" si="0"/>
        <v>137548.25</v>
      </c>
      <c r="G9" s="61">
        <v>137055.72</v>
      </c>
      <c r="H9" s="61">
        <f t="shared" si="1"/>
        <v>-492.52999999999884</v>
      </c>
      <c r="I9" s="61">
        <v>44075</v>
      </c>
      <c r="J9" s="61">
        <f t="shared" si="2"/>
        <v>8922.8984375</v>
      </c>
      <c r="K9" s="61">
        <v>8924.1</v>
      </c>
      <c r="L9" s="63">
        <f t="shared" si="3"/>
        <v>3.1096022688598981</v>
      </c>
      <c r="M9" s="63">
        <v>15.36</v>
      </c>
      <c r="N9" s="63">
        <f t="shared" si="4"/>
        <v>15.413122891944285</v>
      </c>
    </row>
    <row r="10" spans="2:16" x14ac:dyDescent="0.25">
      <c r="B10" s="60">
        <v>7</v>
      </c>
      <c r="C10" s="60" t="s">
        <v>275</v>
      </c>
      <c r="D10" s="61">
        <v>5520.15</v>
      </c>
      <c r="E10" s="62">
        <v>15.78</v>
      </c>
      <c r="F10" s="61">
        <f t="shared" si="0"/>
        <v>87107.96699999999</v>
      </c>
      <c r="G10" s="61">
        <v>86339.56</v>
      </c>
      <c r="H10" s="61">
        <f t="shared" si="1"/>
        <v>-768.40699999999197</v>
      </c>
      <c r="I10" s="61">
        <v>15718.1</v>
      </c>
      <c r="J10" s="61">
        <f t="shared" si="2"/>
        <v>3076.9622238061297</v>
      </c>
      <c r="K10" s="61">
        <v>3077.15</v>
      </c>
      <c r="L10" s="63">
        <f t="shared" si="3"/>
        <v>5.4930023348878043</v>
      </c>
      <c r="M10" s="63">
        <v>28.06</v>
      </c>
      <c r="N10" s="63">
        <f t="shared" si="4"/>
        <v>28.308001559884953</v>
      </c>
    </row>
    <row r="12" spans="2:16" x14ac:dyDescent="0.25">
      <c r="B12" s="70" t="s">
        <v>198</v>
      </c>
      <c r="C12" s="70"/>
      <c r="D12" s="70"/>
      <c r="E12" s="70"/>
      <c r="F12" s="70"/>
      <c r="G12" s="70"/>
      <c r="H12" s="70"/>
      <c r="I12" s="70"/>
      <c r="J12" s="70"/>
      <c r="K12" s="70"/>
      <c r="L12" s="69">
        <f>MAX(L4:L10)</f>
        <v>5.4930023348878043</v>
      </c>
      <c r="M12" s="69">
        <f t="shared" ref="M12:N12" si="5">MAX(M4:M10)</f>
        <v>28.06</v>
      </c>
      <c r="N12" s="69">
        <f t="shared" si="5"/>
        <v>28.308001559884953</v>
      </c>
    </row>
    <row r="13" spans="2:16" x14ac:dyDescent="0.25">
      <c r="B13" s="70" t="s">
        <v>201</v>
      </c>
      <c r="C13" s="70"/>
      <c r="D13" s="70"/>
      <c r="E13" s="70"/>
      <c r="F13" s="70"/>
      <c r="G13" s="70"/>
      <c r="H13" s="70"/>
      <c r="I13" s="70"/>
      <c r="J13" s="70"/>
      <c r="K13" s="70" t="s">
        <v>195</v>
      </c>
      <c r="L13" s="69">
        <f>QUARTILE(L4:L10,3)</f>
        <v>3.0516376704864125</v>
      </c>
      <c r="M13" s="69">
        <f t="shared" ref="M13:N13" si="6">QUARTILE(M4:M10,3)</f>
        <v>15.67</v>
      </c>
      <c r="N13" s="69">
        <f t="shared" si="6"/>
        <v>15.851550599530512</v>
      </c>
    </row>
    <row r="14" spans="2:16" x14ac:dyDescent="0.25">
      <c r="B14" s="71" t="s">
        <v>199</v>
      </c>
      <c r="C14" s="71"/>
      <c r="D14" s="71"/>
      <c r="E14" s="71"/>
      <c r="F14" s="71"/>
      <c r="G14" s="71"/>
      <c r="H14" s="71"/>
      <c r="I14" s="71"/>
      <c r="J14" s="71"/>
      <c r="K14" s="71"/>
      <c r="L14" s="72">
        <f>AVERAGE(L4:L10)</f>
        <v>3.0020430070944402</v>
      </c>
      <c r="M14" s="72">
        <f t="shared" ref="M14:N14" si="7">AVERAGE(M4:M10)</f>
        <v>14.16</v>
      </c>
      <c r="N14" s="72">
        <f t="shared" si="7"/>
        <v>14.314085177326634</v>
      </c>
    </row>
    <row r="15" spans="2:16" x14ac:dyDescent="0.25">
      <c r="B15" s="71" t="s">
        <v>116</v>
      </c>
      <c r="C15" s="71"/>
      <c r="D15" s="71"/>
      <c r="E15" s="71"/>
      <c r="F15" s="71"/>
      <c r="G15" s="71"/>
      <c r="H15" s="71"/>
      <c r="I15" s="71"/>
      <c r="J15" s="71"/>
      <c r="K15" s="71"/>
      <c r="L15" s="72">
        <f>MEDIAN(L4:L10)</f>
        <v>2.5774302463325562</v>
      </c>
      <c r="M15" s="72">
        <f t="shared" ref="M15:N15" si="8">MEDIAN(M4:M10)</f>
        <v>11.52</v>
      </c>
      <c r="N15" s="72">
        <f t="shared" si="8"/>
        <v>12.145355006546758</v>
      </c>
    </row>
    <row r="16" spans="2:16" x14ac:dyDescent="0.25">
      <c r="B16" s="70" t="s">
        <v>202</v>
      </c>
      <c r="C16" s="70"/>
      <c r="D16" s="70"/>
      <c r="E16" s="70"/>
      <c r="F16" s="70"/>
      <c r="G16" s="70"/>
      <c r="H16" s="70"/>
      <c r="I16" s="70"/>
      <c r="J16" s="70"/>
      <c r="K16" s="70"/>
      <c r="L16" s="69">
        <f>QUARTILE(L4:L10,1)</f>
        <v>2.4348314596989047</v>
      </c>
      <c r="M16" s="69">
        <f t="shared" ref="M16:N16" si="9">QUARTILE(M4:M10,1)</f>
        <v>9.85</v>
      </c>
      <c r="N16" s="69">
        <f t="shared" si="9"/>
        <v>9.9916039100015599</v>
      </c>
    </row>
    <row r="17" spans="2:14" x14ac:dyDescent="0.25">
      <c r="B17" s="70" t="s">
        <v>200</v>
      </c>
      <c r="C17" s="70"/>
      <c r="D17" s="70"/>
      <c r="E17" s="70"/>
      <c r="F17" s="70"/>
      <c r="G17" s="70"/>
      <c r="H17" s="70"/>
      <c r="I17" s="70"/>
      <c r="J17" s="70"/>
      <c r="K17" s="70"/>
      <c r="L17" s="69">
        <f>MIN(L4:L10)</f>
        <v>1.9709302080700866</v>
      </c>
      <c r="M17" s="69">
        <f t="shared" ref="M17:N17" si="10">MIN(M4:M10)</f>
        <v>8.5</v>
      </c>
      <c r="N17" s="69">
        <f t="shared" si="10"/>
        <v>8.0589306557905687</v>
      </c>
    </row>
    <row r="19" spans="2:14" x14ac:dyDescent="0.25">
      <c r="B19" s="131" t="s">
        <v>267</v>
      </c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</row>
    <row r="20" spans="2:14" x14ac:dyDescent="0.25">
      <c r="B20" s="64" t="s">
        <v>203</v>
      </c>
      <c r="C20" s="64"/>
      <c r="D20" s="64"/>
      <c r="E20" s="64"/>
      <c r="F20" s="64"/>
      <c r="G20" s="64"/>
      <c r="H20" s="64"/>
      <c r="I20" s="64"/>
      <c r="J20" s="64"/>
      <c r="K20" s="64"/>
      <c r="L20" s="65">
        <f>L15*I5</f>
        <v>475747.22972855589</v>
      </c>
      <c r="M20" s="65">
        <f>M15*J5</f>
        <v>552968.85379912658</v>
      </c>
      <c r="N20" s="65">
        <f>N22+N21</f>
        <v>570173.49550930329</v>
      </c>
    </row>
    <row r="21" spans="2:14" x14ac:dyDescent="0.25">
      <c r="B21" s="64" t="s">
        <v>190</v>
      </c>
      <c r="C21" s="64"/>
      <c r="D21" s="64"/>
      <c r="E21" s="64"/>
      <c r="F21" s="64"/>
      <c r="G21" s="64"/>
      <c r="H21" s="64"/>
      <c r="I21" s="64"/>
      <c r="J21" s="64"/>
      <c r="K21" s="64"/>
      <c r="L21" s="61">
        <f>$H$5</f>
        <v>-12912.853000000003</v>
      </c>
      <c r="M21" s="61">
        <f t="shared" ref="M21:N21" si="11">$H$5</f>
        <v>-12912.853000000003</v>
      </c>
      <c r="N21" s="61">
        <f t="shared" si="11"/>
        <v>-12912.853000000003</v>
      </c>
    </row>
    <row r="22" spans="2:14" x14ac:dyDescent="0.25">
      <c r="B22" s="64" t="s">
        <v>204</v>
      </c>
      <c r="C22" s="64"/>
      <c r="D22" s="64"/>
      <c r="E22" s="64"/>
      <c r="F22" s="64"/>
      <c r="G22" s="64"/>
      <c r="H22" s="64"/>
      <c r="I22" s="64"/>
      <c r="J22" s="64"/>
      <c r="K22" s="64"/>
      <c r="L22" s="65">
        <f>L20-L21</f>
        <v>488660.08272855589</v>
      </c>
      <c r="M22" s="65">
        <f t="shared" ref="M22" si="12">M20-M21</f>
        <v>565881.70679912658</v>
      </c>
      <c r="N22" s="65">
        <f>N15*K5</f>
        <v>583086.34850930329</v>
      </c>
    </row>
    <row r="23" spans="2:14" x14ac:dyDescent="0.25">
      <c r="B23" s="64" t="s">
        <v>182</v>
      </c>
      <c r="C23" s="64"/>
      <c r="D23" s="64"/>
      <c r="E23" s="64"/>
      <c r="F23" s="64"/>
      <c r="G23" s="64"/>
      <c r="H23" s="64"/>
      <c r="I23" s="64"/>
      <c r="J23" s="64"/>
      <c r="K23" s="64"/>
      <c r="L23" s="62">
        <f>$E$5</f>
        <v>405.81</v>
      </c>
      <c r="M23" s="62">
        <f t="shared" ref="M23:N23" si="13">$E$5</f>
        <v>405.81</v>
      </c>
      <c r="N23" s="62">
        <f t="shared" si="13"/>
        <v>405.81</v>
      </c>
    </row>
    <row r="24" spans="2:14" x14ac:dyDescent="0.25">
      <c r="B24" s="64" t="s">
        <v>205</v>
      </c>
      <c r="C24" s="64"/>
      <c r="D24" s="64"/>
      <c r="E24" s="64"/>
      <c r="F24" s="64"/>
      <c r="G24" s="64"/>
      <c r="H24" s="64"/>
      <c r="I24" s="64"/>
      <c r="J24" s="64"/>
      <c r="K24" s="64"/>
      <c r="L24" s="65">
        <f>L22/L23</f>
        <v>1204.1597859307456</v>
      </c>
      <c r="M24" s="65">
        <f t="shared" ref="M24:N24" si="14">M22/M23</f>
        <v>1394.4498824551554</v>
      </c>
      <c r="N24" s="65">
        <f t="shared" si="14"/>
        <v>1436.8456876599969</v>
      </c>
    </row>
    <row r="25" spans="2:14" x14ac:dyDescent="0.25"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71" t="str">
        <f>IF(L24&gt;$D$5,"Undervalued","Overvalued")</f>
        <v>Undervalued</v>
      </c>
      <c r="M25" s="71" t="str">
        <f>IF(M24&gt;$D$5,"Undervalued","Overvalued")</f>
        <v>Undervalued</v>
      </c>
      <c r="N25" s="71" t="str">
        <f t="shared" ref="N25" si="15">IF(N24&gt;$D$5,"Undervalued","Overvalued")</f>
        <v>Undervalued</v>
      </c>
    </row>
    <row r="27" spans="2:14" x14ac:dyDescent="0.25">
      <c r="B27" s="74" t="s">
        <v>207</v>
      </c>
      <c r="C27" s="74"/>
      <c r="D27" s="73"/>
      <c r="E27" s="73"/>
      <c r="F27" s="73"/>
      <c r="G27" s="73"/>
      <c r="H27" s="73"/>
    </row>
    <row r="28" spans="2:14" x14ac:dyDescent="0.25">
      <c r="B28" s="74" t="s">
        <v>206</v>
      </c>
      <c r="C28" s="74"/>
      <c r="D28" s="73"/>
      <c r="E28" s="73"/>
      <c r="F28" s="73"/>
      <c r="G28" s="73"/>
      <c r="H28" s="73"/>
    </row>
    <row r="29" spans="2:14" x14ac:dyDescent="0.25">
      <c r="B29" s="74" t="s">
        <v>255</v>
      </c>
      <c r="C29" s="74"/>
      <c r="D29" s="73"/>
      <c r="E29" s="73"/>
      <c r="F29" s="73"/>
      <c r="G29" s="73"/>
      <c r="H29" s="73"/>
    </row>
    <row r="30" spans="2:14" x14ac:dyDescent="0.25">
      <c r="C30" s="74"/>
      <c r="D30" s="73"/>
      <c r="E30" s="73"/>
      <c r="F30" s="73"/>
      <c r="G30" s="73"/>
      <c r="H30" s="73"/>
    </row>
  </sheetData>
  <mergeCells count="2">
    <mergeCell ref="B2:N2"/>
    <mergeCell ref="B19:N19"/>
  </mergeCells>
  <pageMargins left="0.7" right="0.7" top="0.75" bottom="0.75" header="0.3" footer="0.3"/>
  <pageSetup scale="6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18D03-8AB4-4B86-8F1F-F464768C2F8B}">
  <dimension ref="B2:K40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N9" sqref="N9"/>
    </sheetView>
  </sheetViews>
  <sheetFormatPr defaultRowHeight="15" x14ac:dyDescent="0.25"/>
  <cols>
    <col min="1" max="1" width="2" customWidth="1"/>
    <col min="2" max="2" width="21.7109375" bestFit="1" customWidth="1"/>
    <col min="5" max="6" width="11.28515625" bestFit="1" customWidth="1"/>
    <col min="7" max="7" width="12.42578125" customWidth="1"/>
    <col min="8" max="11" width="11.28515625" bestFit="1" customWidth="1"/>
  </cols>
  <sheetData>
    <row r="2" spans="2:11" x14ac:dyDescent="0.25">
      <c r="B2" s="131" t="s">
        <v>259</v>
      </c>
      <c r="C2" s="131"/>
      <c r="D2" s="131"/>
      <c r="E2" s="131"/>
      <c r="F2" s="131"/>
      <c r="G2" s="131"/>
      <c r="H2" s="131"/>
      <c r="I2" s="131"/>
      <c r="J2" s="131"/>
      <c r="K2" s="131"/>
    </row>
    <row r="3" spans="2:11" x14ac:dyDescent="0.25">
      <c r="B3" s="11" t="s">
        <v>260</v>
      </c>
      <c r="C3" s="11"/>
      <c r="D3" s="11"/>
      <c r="E3" s="11"/>
      <c r="F3" s="53">
        <f>'3 Statement Model'!G3</f>
        <v>46112</v>
      </c>
      <c r="G3" s="53">
        <f>'3 Statement Model'!H3</f>
        <v>46477</v>
      </c>
      <c r="H3" s="53">
        <f>'3 Statement Model'!I3</f>
        <v>46842</v>
      </c>
      <c r="I3" s="53">
        <f>'3 Statement Model'!J3</f>
        <v>47207</v>
      </c>
      <c r="J3" s="53">
        <f>'3 Statement Model'!K3</f>
        <v>47572</v>
      </c>
      <c r="K3" s="53">
        <f>'3 Statement Model'!L3</f>
        <v>47937</v>
      </c>
    </row>
    <row r="4" spans="2:11" x14ac:dyDescent="0.25">
      <c r="B4" s="64" t="s">
        <v>57</v>
      </c>
      <c r="C4" s="64"/>
      <c r="D4" s="64"/>
      <c r="E4" s="64"/>
      <c r="F4" s="61">
        <f>'3 Statement Model'!G27</f>
        <v>178650</v>
      </c>
      <c r="G4" s="61">
        <f>'3 Statement Model'!H27</f>
        <v>197586.90000000002</v>
      </c>
      <c r="H4" s="61">
        <f>'3 Statement Model'!I27</f>
        <v>218531.11140000005</v>
      </c>
      <c r="I4" s="61">
        <f>'3 Statement Model'!J27</f>
        <v>241695.40920840009</v>
      </c>
      <c r="J4" s="61">
        <f>'3 Statement Model'!K27</f>
        <v>267315.12258449051</v>
      </c>
      <c r="K4" s="61">
        <f>'3 Statement Model'!L27</f>
        <v>295650.52557844651</v>
      </c>
    </row>
    <row r="5" spans="2:11" x14ac:dyDescent="0.25">
      <c r="B5" s="64" t="s">
        <v>59</v>
      </c>
      <c r="C5" s="64"/>
      <c r="D5" s="64"/>
      <c r="E5" s="64"/>
      <c r="F5" s="61">
        <f>'3 Statement Model'!G28</f>
        <v>128257</v>
      </c>
      <c r="G5" s="61">
        <f>'3 Statement Model'!H28</f>
        <v>140721.39018000002</v>
      </c>
      <c r="H5" s="61">
        <f>'3 Statement Model'!I28</f>
        <v>155637.85753908005</v>
      </c>
      <c r="I5" s="61">
        <f>'3 Statement Model'!J28</f>
        <v>172135.47043822255</v>
      </c>
      <c r="J5" s="61">
        <f>'3 Statement Model'!K28</f>
        <v>190381.83030467416</v>
      </c>
      <c r="K5" s="61">
        <f>'3 Statement Model'!L28</f>
        <v>210562.30431696962</v>
      </c>
    </row>
    <row r="6" spans="2:11" x14ac:dyDescent="0.25">
      <c r="B6" s="52" t="s">
        <v>61</v>
      </c>
      <c r="C6" s="64"/>
      <c r="D6" s="64"/>
      <c r="E6" s="64"/>
      <c r="F6" s="19">
        <f>F4-F5</f>
        <v>50393</v>
      </c>
      <c r="G6" s="19">
        <f t="shared" ref="G6:K6" si="0">G4-G5</f>
        <v>56865.509820000007</v>
      </c>
      <c r="H6" s="19">
        <f t="shared" si="0"/>
        <v>62893.253860919998</v>
      </c>
      <c r="I6" s="19">
        <f t="shared" si="0"/>
        <v>69559.938770177541</v>
      </c>
      <c r="J6" s="19">
        <f t="shared" si="0"/>
        <v>76933.292279816349</v>
      </c>
      <c r="K6" s="19">
        <f t="shared" si="0"/>
        <v>85088.221261476894</v>
      </c>
    </row>
    <row r="7" spans="2:11" x14ac:dyDescent="0.25">
      <c r="B7" s="64" t="s">
        <v>63</v>
      </c>
      <c r="C7" s="64"/>
      <c r="D7" s="64"/>
      <c r="E7" s="64"/>
      <c r="F7" s="61">
        <f>'3 Statement Model'!G30</f>
        <v>8113</v>
      </c>
      <c r="G7" s="61">
        <f>'3 Statement Model'!H30</f>
        <v>8930.9278800000011</v>
      </c>
      <c r="H7" s="61">
        <f>'3 Statement Model'!I30</f>
        <v>9877.6062352800018</v>
      </c>
      <c r="I7" s="61">
        <f>'3 Statement Model'!J30</f>
        <v>10924.632496219683</v>
      </c>
      <c r="J7" s="61">
        <f>'3 Statement Model'!K30</f>
        <v>12082.64354081897</v>
      </c>
      <c r="K7" s="61">
        <f>'3 Statement Model'!L30</f>
        <v>13363.403756145781</v>
      </c>
    </row>
    <row r="8" spans="2:11" x14ac:dyDescent="0.25">
      <c r="B8" s="52" t="s">
        <v>65</v>
      </c>
      <c r="C8" s="64"/>
      <c r="D8" s="64"/>
      <c r="E8" s="64"/>
      <c r="F8" s="19">
        <f>F6-F7</f>
        <v>42280</v>
      </c>
      <c r="G8" s="19">
        <f t="shared" ref="G8:K8" si="1">G6-G7</f>
        <v>47934.581940000004</v>
      </c>
      <c r="H8" s="19">
        <f t="shared" si="1"/>
        <v>53015.647625639998</v>
      </c>
      <c r="I8" s="19">
        <f t="shared" si="1"/>
        <v>58635.30627395786</v>
      </c>
      <c r="J8" s="19">
        <f t="shared" si="1"/>
        <v>64850.648738997377</v>
      </c>
      <c r="K8" s="19">
        <f t="shared" si="1"/>
        <v>71724.817505331113</v>
      </c>
    </row>
    <row r="9" spans="2:11" x14ac:dyDescent="0.25">
      <c r="B9" s="64" t="s">
        <v>4</v>
      </c>
      <c r="C9" s="64"/>
      <c r="D9" s="64"/>
      <c r="E9" s="64"/>
      <c r="F9" s="61">
        <f>'3 Statement Model'!G32</f>
        <v>3033</v>
      </c>
      <c r="G9" s="61">
        <f>'3 Statement Model'!H32</f>
        <v>4149.3249000000005</v>
      </c>
      <c r="H9" s="61">
        <f>'3 Statement Model'!I32</f>
        <v>4589.1533394000016</v>
      </c>
      <c r="I9" s="61">
        <f>'3 Statement Model'!J32</f>
        <v>5075.6035933764024</v>
      </c>
      <c r="J9" s="61">
        <f>'3 Statement Model'!K32</f>
        <v>5613.6175742743008</v>
      </c>
      <c r="K9" s="61">
        <f>'3 Statement Model'!L32</f>
        <v>6208.6610371473771</v>
      </c>
    </row>
    <row r="10" spans="2:11" x14ac:dyDescent="0.25">
      <c r="B10" s="52" t="s">
        <v>261</v>
      </c>
      <c r="C10" s="64"/>
      <c r="D10" s="64"/>
      <c r="E10" s="64"/>
      <c r="F10" s="61"/>
      <c r="G10" s="61"/>
      <c r="H10" s="61"/>
      <c r="I10" s="61"/>
      <c r="J10" s="61"/>
      <c r="K10" s="61"/>
    </row>
    <row r="11" spans="2:11" x14ac:dyDescent="0.25">
      <c r="B11" s="64" t="s">
        <v>5</v>
      </c>
      <c r="C11" s="64"/>
      <c r="D11" s="64"/>
      <c r="E11" s="64"/>
      <c r="F11" s="61">
        <f>'3 Statement Model'!G34</f>
        <v>4902</v>
      </c>
      <c r="G11" s="61">
        <f>'3 Statement Model'!H34</f>
        <v>4981.0749999999998</v>
      </c>
      <c r="H11" s="61">
        <f>'3 Statement Model'!I34</f>
        <v>5412.1291474999998</v>
      </c>
      <c r="I11" s="61">
        <f>'3 Statement Model'!J34</f>
        <v>5903.1736555037496</v>
      </c>
      <c r="J11" s="61">
        <f>'3 Statement Model'!K34</f>
        <v>6458.458455646507</v>
      </c>
      <c r="K11" s="61">
        <f>'3 Statement Model'!L34</f>
        <v>7082.9950566871421</v>
      </c>
    </row>
    <row r="12" spans="2:11" x14ac:dyDescent="0.25">
      <c r="B12" s="52" t="s">
        <v>167</v>
      </c>
      <c r="C12" s="64"/>
      <c r="D12" s="64"/>
      <c r="E12" s="64"/>
      <c r="F12" s="19">
        <f>F8+F9-F11</f>
        <v>40411</v>
      </c>
      <c r="G12" s="19">
        <f t="shared" ref="G12:K12" si="2">G8+G9-G11</f>
        <v>47102.831840000006</v>
      </c>
      <c r="H12" s="19">
        <f t="shared" si="2"/>
        <v>52192.671817540002</v>
      </c>
      <c r="I12" s="19">
        <f t="shared" si="2"/>
        <v>57807.73621183051</v>
      </c>
      <c r="J12" s="19">
        <f t="shared" si="2"/>
        <v>64005.807857625179</v>
      </c>
      <c r="K12" s="19">
        <f t="shared" si="2"/>
        <v>70850.483485791352</v>
      </c>
    </row>
    <row r="13" spans="2:11" x14ac:dyDescent="0.25">
      <c r="B13" s="64" t="s">
        <v>8</v>
      </c>
      <c r="C13" s="64"/>
      <c r="D13" s="64"/>
      <c r="E13" s="64"/>
      <c r="F13" s="61">
        <f>'3 Statement Model'!G37</f>
        <v>10521</v>
      </c>
      <c r="G13" s="61">
        <f>'3 Statement Model'!H37</f>
        <v>12732.338958767999</v>
      </c>
      <c r="H13" s="61">
        <f>'3 Statement Model'!I37</f>
        <v>14113.367967436856</v>
      </c>
      <c r="I13" s="61">
        <f>'3 Statement Model'!J37</f>
        <v>15631.921222216011</v>
      </c>
      <c r="J13" s="61">
        <f>'3 Statement Model'!K37</f>
        <v>17308.117025092699</v>
      </c>
      <c r="K13" s="61">
        <f>'3 Statement Model'!L37</f>
        <v>19159.155790459354</v>
      </c>
    </row>
    <row r="14" spans="2:11" x14ac:dyDescent="0.25">
      <c r="B14" s="52" t="s">
        <v>262</v>
      </c>
      <c r="C14" s="64"/>
      <c r="D14" s="64"/>
      <c r="E14" s="64"/>
      <c r="F14" s="75">
        <f>F12-F13</f>
        <v>29890</v>
      </c>
      <c r="G14" s="75">
        <f t="shared" ref="G14:K14" si="3">G12-G13</f>
        <v>34370.492881232007</v>
      </c>
      <c r="H14" s="75">
        <f t="shared" si="3"/>
        <v>38079.303850103148</v>
      </c>
      <c r="I14" s="75">
        <f t="shared" si="3"/>
        <v>42175.814989614497</v>
      </c>
      <c r="J14" s="75">
        <f t="shared" si="3"/>
        <v>46697.690832532477</v>
      </c>
      <c r="K14" s="75">
        <f t="shared" si="3"/>
        <v>51691.327695332002</v>
      </c>
    </row>
    <row r="15" spans="2:11" x14ac:dyDescent="0.25">
      <c r="B15" s="64" t="s">
        <v>235</v>
      </c>
      <c r="C15" s="64"/>
      <c r="D15" s="64"/>
      <c r="E15" s="64"/>
      <c r="F15" s="61">
        <f>F11</f>
        <v>4902</v>
      </c>
      <c r="G15" s="61">
        <f t="shared" ref="G15:K15" si="4">G11</f>
        <v>4981.0749999999998</v>
      </c>
      <c r="H15" s="61">
        <f t="shared" si="4"/>
        <v>5412.1291474999998</v>
      </c>
      <c r="I15" s="61">
        <f t="shared" si="4"/>
        <v>5903.1736555037496</v>
      </c>
      <c r="J15" s="61">
        <f t="shared" si="4"/>
        <v>6458.458455646507</v>
      </c>
      <c r="K15" s="61">
        <f t="shared" si="4"/>
        <v>7082.9950566871421</v>
      </c>
    </row>
    <row r="16" spans="2:11" x14ac:dyDescent="0.25">
      <c r="B16" s="64" t="s">
        <v>263</v>
      </c>
      <c r="C16" s="64"/>
      <c r="D16" s="64"/>
      <c r="E16" s="64"/>
      <c r="F16" s="65">
        <f>'3 Statement Model'!G96</f>
        <v>7711</v>
      </c>
      <c r="G16" s="65">
        <f>'3 Statement Model'!H96</f>
        <v>7903.4760000000015</v>
      </c>
      <c r="H16" s="65">
        <f>'3 Statement Model'!I96</f>
        <v>8741.2444560000022</v>
      </c>
      <c r="I16" s="65">
        <f>'3 Statement Model'!J96</f>
        <v>9667.8163683360035</v>
      </c>
      <c r="J16" s="65">
        <f>'3 Statement Model'!K96</f>
        <v>10692.604903379621</v>
      </c>
      <c r="K16" s="65">
        <f>'3 Statement Model'!L96</f>
        <v>11826.021023137861</v>
      </c>
    </row>
    <row r="17" spans="2:11" x14ac:dyDescent="0.25">
      <c r="B17" s="64" t="s">
        <v>264</v>
      </c>
      <c r="C17" s="64"/>
      <c r="D17" s="64"/>
      <c r="E17" s="64"/>
      <c r="F17" s="61">
        <f>'3 Statement Model'!G91</f>
        <v>3127</v>
      </c>
      <c r="G17" s="61">
        <f>'3 Statement Model'!H91</f>
        <v>1008.6986301369834</v>
      </c>
      <c r="H17" s="61">
        <f>'3 Statement Model'!I91</f>
        <v>2869.0700547945271</v>
      </c>
      <c r="I17" s="61">
        <f>'3 Statement Model'!J91</f>
        <v>3173.1914806027526</v>
      </c>
      <c r="J17" s="61">
        <f>'3 Statement Model'!K91</f>
        <v>3509.5497775466283</v>
      </c>
      <c r="K17" s="61">
        <f>'3 Statement Model'!L91</f>
        <v>3881.5620539665761</v>
      </c>
    </row>
    <row r="18" spans="2:11" x14ac:dyDescent="0.25">
      <c r="B18" s="52" t="s">
        <v>166</v>
      </c>
      <c r="C18" s="64"/>
      <c r="D18" s="64"/>
      <c r="E18" s="64"/>
      <c r="F18" s="19">
        <f>'3 Statement Model'!G90</f>
        <v>26058</v>
      </c>
      <c r="G18" s="19">
        <f>'3 Statement Model'!H90</f>
        <v>27066.698630136983</v>
      </c>
      <c r="H18" s="19">
        <f>'3 Statement Model'!I90</f>
        <v>29935.768684931511</v>
      </c>
      <c r="I18" s="19">
        <f>'3 Statement Model'!J90</f>
        <v>33108.960165534263</v>
      </c>
      <c r="J18" s="19">
        <f>'3 Statement Model'!K90</f>
        <v>36618.509943080891</v>
      </c>
      <c r="K18" s="19">
        <f>'3 Statement Model'!L90</f>
        <v>40500.071997047467</v>
      </c>
    </row>
    <row r="19" spans="2:11" x14ac:dyDescent="0.25">
      <c r="B19" s="122" t="s">
        <v>259</v>
      </c>
      <c r="C19" s="123"/>
      <c r="D19" s="123"/>
      <c r="E19" s="123"/>
      <c r="F19" s="124">
        <f>F14+F15-F16-F17</f>
        <v>23954</v>
      </c>
      <c r="G19" s="124">
        <f t="shared" ref="G19:K19" si="5">G14+G15-G16-G17</f>
        <v>30439.393251095018</v>
      </c>
      <c r="H19" s="124">
        <f t="shared" si="5"/>
        <v>31881.118486808617</v>
      </c>
      <c r="I19" s="124">
        <f t="shared" si="5"/>
        <v>35237.980796179487</v>
      </c>
      <c r="J19" s="124">
        <f t="shared" si="5"/>
        <v>38953.994607252731</v>
      </c>
      <c r="K19" s="124">
        <f t="shared" si="5"/>
        <v>43066.739674914708</v>
      </c>
    </row>
    <row r="20" spans="2:11" x14ac:dyDescent="0.25">
      <c r="B20" s="64" t="s">
        <v>265</v>
      </c>
      <c r="C20" s="64"/>
      <c r="D20" s="64"/>
      <c r="E20" s="64"/>
      <c r="F20" s="65"/>
      <c r="G20" s="64">
        <v>1</v>
      </c>
      <c r="H20" s="64">
        <v>2</v>
      </c>
      <c r="I20" s="64">
        <v>3</v>
      </c>
      <c r="J20" s="64">
        <v>4</v>
      </c>
      <c r="K20" s="64">
        <v>5</v>
      </c>
    </row>
    <row r="21" spans="2:11" x14ac:dyDescent="0.25">
      <c r="B21" s="64" t="s">
        <v>168</v>
      </c>
      <c r="C21" s="64"/>
      <c r="D21" s="64"/>
      <c r="E21" s="64"/>
      <c r="F21" s="65"/>
      <c r="G21" s="62">
        <f>1/(1+$D$26)^G20</f>
        <v>0.89834075080633158</v>
      </c>
      <c r="H21" s="62">
        <f t="shared" ref="H21:K21" si="6">1/(1+$D$26)^H20</f>
        <v>0.80701610455928363</v>
      </c>
      <c r="I21" s="62">
        <f t="shared" si="6"/>
        <v>0.72497545328258783</v>
      </c>
      <c r="J21" s="62">
        <f t="shared" si="6"/>
        <v>0.65127499301804059</v>
      </c>
      <c r="K21" s="62">
        <f t="shared" si="6"/>
        <v>0.585066866209215</v>
      </c>
    </row>
    <row r="22" spans="2:11" x14ac:dyDescent="0.25">
      <c r="B22" s="122" t="s">
        <v>169</v>
      </c>
      <c r="C22" s="123"/>
      <c r="D22" s="123"/>
      <c r="E22" s="123"/>
      <c r="F22" s="125"/>
      <c r="G22" s="125">
        <f>G19*G21</f>
        <v>27344.94738727788</v>
      </c>
      <c r="H22" s="125">
        <f t="shared" ref="H22:K22" si="7">H19*H21</f>
        <v>25728.576050217252</v>
      </c>
      <c r="I22" s="125">
        <f t="shared" si="7"/>
        <v>25546.671100473348</v>
      </c>
      <c r="J22" s="125">
        <f t="shared" si="7"/>
        <v>25369.762565863311</v>
      </c>
      <c r="K22" s="125">
        <f t="shared" si="7"/>
        <v>25196.922419450417</v>
      </c>
    </row>
    <row r="23" spans="2:11" x14ac:dyDescent="0.25">
      <c r="F23" s="59"/>
    </row>
    <row r="24" spans="2:11" x14ac:dyDescent="0.25">
      <c r="B24" s="123" t="s">
        <v>170</v>
      </c>
      <c r="C24" s="123"/>
      <c r="D24" s="126">
        <v>0.106</v>
      </c>
      <c r="F24" s="114"/>
    </row>
    <row r="25" spans="2:11" x14ac:dyDescent="0.25">
      <c r="B25" s="123" t="s">
        <v>171</v>
      </c>
      <c r="C25" s="123"/>
      <c r="D25" s="126">
        <v>4.4999999999999998E-2</v>
      </c>
      <c r="F25" s="59"/>
    </row>
    <row r="26" spans="2:11" x14ac:dyDescent="0.25">
      <c r="B26" s="123" t="s">
        <v>172</v>
      </c>
      <c r="C26" s="123"/>
      <c r="D26" s="126">
        <f>WACC!J34</f>
        <v>0.11316335043514517</v>
      </c>
      <c r="F26" s="59"/>
    </row>
    <row r="27" spans="2:11" x14ac:dyDescent="0.25">
      <c r="F27" s="59"/>
    </row>
    <row r="28" spans="2:11" x14ac:dyDescent="0.25">
      <c r="B28" s="131" t="s">
        <v>173</v>
      </c>
      <c r="C28" s="131"/>
      <c r="D28" s="131"/>
      <c r="E28" s="131"/>
      <c r="F28" s="59"/>
      <c r="G28" s="131" t="s">
        <v>176</v>
      </c>
      <c r="H28" s="131"/>
      <c r="I28" s="131"/>
      <c r="J28" s="131"/>
      <c r="K28" s="131"/>
    </row>
    <row r="29" spans="2:11" x14ac:dyDescent="0.25">
      <c r="B29" s="64" t="s">
        <v>172</v>
      </c>
      <c r="C29" s="64"/>
      <c r="D29" s="64"/>
      <c r="E29" s="127">
        <f>D26</f>
        <v>0.11316335043514517</v>
      </c>
      <c r="F29" s="59"/>
      <c r="G29" s="64" t="s">
        <v>266</v>
      </c>
      <c r="H29" s="64"/>
      <c r="I29" s="64"/>
      <c r="J29" s="64"/>
      <c r="K29" s="65">
        <f>SUM(G22:K22)</f>
        <v>129186.8795232822</v>
      </c>
    </row>
    <row r="30" spans="2:11" x14ac:dyDescent="0.25">
      <c r="B30" s="64" t="s">
        <v>171</v>
      </c>
      <c r="C30" s="64"/>
      <c r="D30" s="64"/>
      <c r="E30" s="127">
        <f>D25</f>
        <v>4.4999999999999998E-2</v>
      </c>
      <c r="F30" s="114"/>
      <c r="G30" s="64" t="s">
        <v>175</v>
      </c>
      <c r="H30" s="64"/>
      <c r="I30" s="64"/>
      <c r="J30" s="64"/>
      <c r="K30" s="61">
        <f>E32*K21</f>
        <v>386289.46142221137</v>
      </c>
    </row>
    <row r="31" spans="2:11" x14ac:dyDescent="0.25">
      <c r="B31" s="64"/>
      <c r="C31" s="64"/>
      <c r="D31" s="64"/>
      <c r="E31" s="64"/>
      <c r="G31" s="64"/>
      <c r="H31" s="64"/>
      <c r="I31" s="64"/>
      <c r="J31" s="64"/>
      <c r="K31" s="61"/>
    </row>
    <row r="32" spans="2:11" x14ac:dyDescent="0.25">
      <c r="B32" s="52" t="s">
        <v>174</v>
      </c>
      <c r="C32" s="52"/>
      <c r="D32" s="52"/>
      <c r="E32" s="19">
        <f>K19*(1+E30)/(E29-E30)</f>
        <v>660248.39848660561</v>
      </c>
      <c r="G32" s="52" t="s">
        <v>177</v>
      </c>
      <c r="H32" s="64"/>
      <c r="I32" s="64"/>
      <c r="J32" s="64"/>
      <c r="K32" s="19">
        <f>K29+K30</f>
        <v>515476.34094549355</v>
      </c>
    </row>
    <row r="33" spans="2:11" x14ac:dyDescent="0.25">
      <c r="J33" s="14"/>
    </row>
    <row r="34" spans="2:11" x14ac:dyDescent="0.25">
      <c r="B34" s="131" t="s">
        <v>178</v>
      </c>
      <c r="C34" s="131"/>
      <c r="D34" s="131"/>
      <c r="E34" s="131"/>
      <c r="H34" s="131" t="s">
        <v>187</v>
      </c>
      <c r="I34" s="131"/>
      <c r="J34" s="131"/>
      <c r="K34" s="131"/>
    </row>
    <row r="35" spans="2:11" x14ac:dyDescent="0.25">
      <c r="B35" s="64"/>
      <c r="C35" s="64"/>
      <c r="D35" s="64"/>
      <c r="E35" s="64"/>
      <c r="G35" s="82">
        <f>E40</f>
        <v>1302.350873214406</v>
      </c>
      <c r="H35" s="77">
        <v>0.1</v>
      </c>
      <c r="I35" s="77">
        <v>0.1075</v>
      </c>
      <c r="J35" s="77">
        <v>0.1132</v>
      </c>
      <c r="K35" s="78">
        <v>0.12</v>
      </c>
    </row>
    <row r="36" spans="2:11" x14ac:dyDescent="0.25">
      <c r="B36" s="64" t="s">
        <v>179</v>
      </c>
      <c r="C36" s="64"/>
      <c r="D36" s="64"/>
      <c r="E36" s="61">
        <f>'Data Sheet'!K69</f>
        <v>22201</v>
      </c>
      <c r="G36" s="83">
        <v>2.5000000000000001E-2</v>
      </c>
      <c r="H36" s="79">
        <f t="dataTable" ref="H36:K40" dt2D="1" dtr="1" r1="E29" r2="E30"/>
        <v>1199.0217997438981</v>
      </c>
      <c r="I36" s="79">
        <v>1121.8783017458879</v>
      </c>
      <c r="J36" s="79">
        <v>1072.0236601825472</v>
      </c>
      <c r="K36" s="80">
        <v>1020.3736991169262</v>
      </c>
    </row>
    <row r="37" spans="2:11" x14ac:dyDescent="0.25">
      <c r="B37" s="64" t="s">
        <v>180</v>
      </c>
      <c r="C37" s="64"/>
      <c r="D37" s="64"/>
      <c r="E37" s="61">
        <f>'Data Sheet'!K59</f>
        <v>9176</v>
      </c>
      <c r="G37" s="83">
        <v>3.5000000000000003E-2</v>
      </c>
      <c r="H37" s="79">
        <v>1339.1248129935684</v>
      </c>
      <c r="I37" s="79">
        <v>1236.8474173493146</v>
      </c>
      <c r="J37" s="79">
        <v>1172.2374001520495</v>
      </c>
      <c r="K37" s="80">
        <v>1106.4938738811481</v>
      </c>
    </row>
    <row r="38" spans="2:11" x14ac:dyDescent="0.25">
      <c r="B38" s="52" t="s">
        <v>181</v>
      </c>
      <c r="C38" s="64"/>
      <c r="D38" s="64"/>
      <c r="E38" s="19">
        <f>K32+E36-E37</f>
        <v>528501.34094549355</v>
      </c>
      <c r="G38" s="83">
        <v>4.4999999999999998E-2</v>
      </c>
      <c r="H38" s="79">
        <v>1530.1743765158462</v>
      </c>
      <c r="I38" s="79">
        <v>1388.6066499458386</v>
      </c>
      <c r="J38" s="81">
        <v>1301.8393336609952</v>
      </c>
      <c r="K38" s="80">
        <v>1215.5794285824957</v>
      </c>
    </row>
    <row r="39" spans="2:11" x14ac:dyDescent="0.25">
      <c r="B39" s="64" t="s">
        <v>182</v>
      </c>
      <c r="C39" s="64"/>
      <c r="D39" s="64"/>
      <c r="E39" s="62">
        <f>'Data Sheet'!B6</f>
        <v>405.80564870438445</v>
      </c>
      <c r="G39" s="83">
        <v>5.5E-2</v>
      </c>
      <c r="H39" s="79">
        <v>1806.1348571591361</v>
      </c>
      <c r="I39" s="79">
        <v>1598.1789235315143</v>
      </c>
      <c r="J39" s="79">
        <v>1475.9780140802313</v>
      </c>
      <c r="K39" s="80">
        <v>1358.2297693457963</v>
      </c>
    </row>
    <row r="40" spans="2:11" x14ac:dyDescent="0.25">
      <c r="B40" s="52" t="s">
        <v>178</v>
      </c>
      <c r="C40" s="52"/>
      <c r="D40" s="52"/>
      <c r="E40" s="19">
        <f>E38/E39</f>
        <v>1302.350873214406</v>
      </c>
      <c r="G40" s="83">
        <v>6.5000000000000002E-2</v>
      </c>
      <c r="H40" s="79">
        <v>2239.7870410271635</v>
      </c>
      <c r="I40" s="79">
        <v>1906.3734435104493</v>
      </c>
      <c r="J40" s="79">
        <v>1722.3734083663705</v>
      </c>
      <c r="K40" s="80">
        <v>1552.7529612957521</v>
      </c>
    </row>
  </sheetData>
  <mergeCells count="5">
    <mergeCell ref="B2:K2"/>
    <mergeCell ref="B28:E28"/>
    <mergeCell ref="G28:K28"/>
    <mergeCell ref="B34:E34"/>
    <mergeCell ref="H34:K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09C85-69AA-44CC-B1B5-D816DBD6D6B2}">
  <sheetPr>
    <pageSetUpPr fitToPage="1"/>
  </sheetPr>
  <dimension ref="B5:P36"/>
  <sheetViews>
    <sheetView showGridLines="0" zoomScaleNormal="100" workbookViewId="0">
      <pane ySplit="5" topLeftCell="A15" activePane="bottomLeft" state="frozen"/>
      <selection pane="bottomLeft" activeCell="C33" sqref="C33"/>
    </sheetView>
  </sheetViews>
  <sheetFormatPr defaultColWidth="9.140625" defaultRowHeight="15" x14ac:dyDescent="0.25"/>
  <cols>
    <col min="1" max="1" width="2" style="39" customWidth="1"/>
    <col min="2" max="2" width="48.5703125" style="39" bestFit="1" customWidth="1"/>
    <col min="3" max="4" width="10.140625" style="39" bestFit="1" customWidth="1"/>
    <col min="5" max="5" width="20.140625" style="39" bestFit="1" customWidth="1"/>
    <col min="6" max="6" width="9.140625" style="39" bestFit="1" customWidth="1"/>
    <col min="7" max="7" width="30.5703125" style="39" bestFit="1" customWidth="1"/>
    <col min="8" max="8" width="11.28515625" style="39" bestFit="1" customWidth="1"/>
    <col min="9" max="9" width="9.42578125" style="39" bestFit="1" customWidth="1"/>
    <col min="10" max="10" width="12.42578125" style="39" bestFit="1" customWidth="1"/>
    <col min="11" max="12" width="9.140625" style="39"/>
    <col min="13" max="13" width="9.42578125" style="39" bestFit="1" customWidth="1"/>
    <col min="14" max="14" width="20.42578125" style="39" bestFit="1" customWidth="1"/>
    <col min="15" max="16384" width="9.140625" style="39"/>
  </cols>
  <sheetData>
    <row r="5" spans="2:16" ht="18.75" x14ac:dyDescent="0.3">
      <c r="B5" s="48" t="s">
        <v>119</v>
      </c>
      <c r="C5" s="49"/>
      <c r="D5" s="49"/>
      <c r="E5" s="49"/>
      <c r="F5" s="49"/>
      <c r="G5" s="49"/>
      <c r="H5" s="49"/>
      <c r="I5" s="49"/>
      <c r="J5" s="49"/>
      <c r="K5" s="38"/>
      <c r="L5" s="38"/>
      <c r="M5" s="38"/>
      <c r="N5" s="38"/>
      <c r="O5" s="38"/>
      <c r="P5" s="38"/>
    </row>
    <row r="6" spans="2:16" x14ac:dyDescent="0.25">
      <c r="B6" s="40" t="s">
        <v>120</v>
      </c>
    </row>
    <row r="7" spans="2:16" x14ac:dyDescent="0.25">
      <c r="B7" s="41" t="s">
        <v>121</v>
      </c>
    </row>
    <row r="8" spans="2:16" x14ac:dyDescent="0.25">
      <c r="B8" s="42"/>
      <c r="C8" s="42"/>
      <c r="D8" s="42"/>
      <c r="E8" s="42"/>
      <c r="F8" s="42"/>
      <c r="G8" s="42" t="s">
        <v>122</v>
      </c>
      <c r="H8" s="42" t="s">
        <v>122</v>
      </c>
      <c r="I8" s="42" t="s">
        <v>123</v>
      </c>
      <c r="J8" s="42" t="s">
        <v>124</v>
      </c>
    </row>
    <row r="9" spans="2:16" ht="17.25" x14ac:dyDescent="0.25">
      <c r="B9" s="43" t="s">
        <v>125</v>
      </c>
      <c r="C9" s="43" t="s">
        <v>126</v>
      </c>
      <c r="D9" s="43" t="s">
        <v>127</v>
      </c>
      <c r="E9" s="116" t="s">
        <v>268</v>
      </c>
      <c r="F9" s="43" t="s">
        <v>128</v>
      </c>
      <c r="G9" s="43" t="s">
        <v>129</v>
      </c>
      <c r="H9" s="43" t="s">
        <v>130</v>
      </c>
      <c r="I9" s="43" t="s">
        <v>131</v>
      </c>
      <c r="J9" s="43" t="s">
        <v>132</v>
      </c>
    </row>
    <row r="10" spans="2:16" x14ac:dyDescent="0.25">
      <c r="B10" s="115" t="s">
        <v>269</v>
      </c>
      <c r="C10" s="85" t="s">
        <v>164</v>
      </c>
      <c r="D10" s="86">
        <v>8737</v>
      </c>
      <c r="E10" s="86">
        <v>452250.12</v>
      </c>
      <c r="F10" s="119">
        <v>0.3</v>
      </c>
      <c r="G10" s="87">
        <f>D10/E10</f>
        <v>1.9318955625705528E-2</v>
      </c>
      <c r="H10" s="87">
        <f>D10/SUM(D10,E10)</f>
        <v>1.8952807184721344E-2</v>
      </c>
      <c r="I10" s="118">
        <v>0.75</v>
      </c>
      <c r="J10" s="89">
        <f>I10/(1+(1-F10)*G10)</f>
        <v>0.73999287730796448</v>
      </c>
    </row>
    <row r="11" spans="2:16" x14ac:dyDescent="0.25">
      <c r="B11" s="115" t="s">
        <v>270</v>
      </c>
      <c r="C11" s="85" t="s">
        <v>164</v>
      </c>
      <c r="D11" s="90">
        <v>11283</v>
      </c>
      <c r="E11" s="90">
        <v>826588.33</v>
      </c>
      <c r="F11" s="119">
        <v>0.3</v>
      </c>
      <c r="G11" s="87">
        <f t="shared" ref="G11" si="0">D11/E11</f>
        <v>1.3650083833145818E-2</v>
      </c>
      <c r="H11" s="87">
        <f t="shared" ref="H11" si="1">D11/SUM(D11,E11)</f>
        <v>1.3466268144059781E-2</v>
      </c>
      <c r="I11" s="118">
        <v>0.7</v>
      </c>
      <c r="J11" s="89">
        <f t="shared" ref="J11:J12" si="2">I11/(1+(1-F11)*G11)</f>
        <v>0.69337476344582372</v>
      </c>
    </row>
    <row r="12" spans="2:16" x14ac:dyDescent="0.25">
      <c r="B12" s="115" t="s">
        <v>271</v>
      </c>
      <c r="C12" s="85" t="s">
        <v>164</v>
      </c>
      <c r="D12" s="90">
        <v>5215</v>
      </c>
      <c r="E12" s="90">
        <v>351962.37</v>
      </c>
      <c r="F12" s="119">
        <v>0.3</v>
      </c>
      <c r="G12" s="87">
        <f>D12/E12</f>
        <v>1.4816924888873774E-2</v>
      </c>
      <c r="H12" s="87">
        <f>D12/SUM(D12,E12)</f>
        <v>1.4600589057475842E-2</v>
      </c>
      <c r="I12" s="118">
        <v>0.8</v>
      </c>
      <c r="J12" s="89">
        <f t="shared" si="2"/>
        <v>0.7917876987972905</v>
      </c>
      <c r="N12" s="44"/>
    </row>
    <row r="13" spans="2:16" x14ac:dyDescent="0.25">
      <c r="B13" s="115" t="s">
        <v>272</v>
      </c>
      <c r="C13" s="85" t="s">
        <v>164</v>
      </c>
      <c r="D13" s="90">
        <v>20291</v>
      </c>
      <c r="E13" s="90">
        <v>177736.91</v>
      </c>
      <c r="F13" s="119">
        <v>0.3</v>
      </c>
      <c r="G13" s="87">
        <f t="shared" ref="G13" si="3">D13/E13</f>
        <v>0.11416311896049053</v>
      </c>
      <c r="H13" s="87">
        <f t="shared" ref="H13" si="4">D13/SUM(D13,E13)</f>
        <v>0.10246535450482712</v>
      </c>
      <c r="I13" s="118">
        <v>0.85</v>
      </c>
      <c r="J13" s="89">
        <f t="shared" ref="J13" si="5">I13/(1+(1-F13)*G13)</f>
        <v>0.78709957991693369</v>
      </c>
    </row>
    <row r="14" spans="2:16" x14ac:dyDescent="0.25">
      <c r="E14" s="91" t="s">
        <v>199</v>
      </c>
      <c r="F14" s="93">
        <f>AVERAGE(F10:F13)</f>
        <v>0.3</v>
      </c>
      <c r="G14" s="93">
        <f>AVERAGE(G10:G13)</f>
        <v>4.048727082705391E-2</v>
      </c>
      <c r="H14" s="93">
        <f>AVERAGE(H10:H13)</f>
        <v>3.7371254722771023E-2</v>
      </c>
      <c r="I14" s="93">
        <f t="shared" ref="I14" si="6">AVERAGE(I10:I13)</f>
        <v>0.77500000000000002</v>
      </c>
      <c r="J14" s="117">
        <f>AVERAGE(J10:J13)</f>
        <v>0.7530637298670031</v>
      </c>
      <c r="N14" s="44"/>
    </row>
    <row r="15" spans="2:16" x14ac:dyDescent="0.25">
      <c r="E15" s="91" t="s">
        <v>116</v>
      </c>
      <c r="F15" s="93">
        <f>MEDIAN(F10:F13)</f>
        <v>0.3</v>
      </c>
      <c r="G15" s="93">
        <f>MEDIAN(G10:G13)</f>
        <v>1.7067940257289652E-2</v>
      </c>
      <c r="H15" s="93">
        <f>MEDIAN(H10:H13)</f>
        <v>1.6776698121098593E-2</v>
      </c>
      <c r="I15" s="93">
        <f>MEDIAN(I10:I13)</f>
        <v>0.77500000000000002</v>
      </c>
      <c r="J15" s="117">
        <f>MEDIAN(J10:J13)</f>
        <v>0.76354622861244903</v>
      </c>
    </row>
    <row r="17" spans="2:10" x14ac:dyDescent="0.25">
      <c r="B17" s="91" t="s">
        <v>133</v>
      </c>
      <c r="C17" s="47"/>
      <c r="D17" s="47"/>
      <c r="E17" s="47"/>
      <c r="F17" s="45"/>
      <c r="G17" s="91" t="s">
        <v>134</v>
      </c>
      <c r="H17" s="47"/>
      <c r="I17" s="47"/>
      <c r="J17" s="47"/>
    </row>
    <row r="18" spans="2:10" x14ac:dyDescent="0.25">
      <c r="B18" s="47"/>
      <c r="C18" s="47"/>
      <c r="D18" s="47"/>
      <c r="E18" s="47"/>
      <c r="G18" s="47"/>
      <c r="H18" s="47"/>
      <c r="I18" s="47"/>
      <c r="J18" s="47"/>
    </row>
    <row r="19" spans="2:10" x14ac:dyDescent="0.25">
      <c r="B19" s="47" t="s">
        <v>135</v>
      </c>
      <c r="C19" s="47"/>
      <c r="D19" s="47"/>
      <c r="E19" s="94">
        <f>'Data Sheet'!K27/'Data Sheet'!K59</f>
        <v>4.5335658238884045E-2</v>
      </c>
      <c r="G19" s="47" t="s">
        <v>136</v>
      </c>
      <c r="H19" s="47"/>
      <c r="I19" s="47"/>
      <c r="J19" s="94">
        <v>6.7599999999999993E-2</v>
      </c>
    </row>
    <row r="20" spans="2:10" x14ac:dyDescent="0.25">
      <c r="B20" s="47" t="s">
        <v>137</v>
      </c>
      <c r="C20" s="47"/>
      <c r="D20" s="47"/>
      <c r="E20" s="95">
        <v>0.2727</v>
      </c>
      <c r="G20" s="47" t="s">
        <v>138</v>
      </c>
      <c r="H20" s="47"/>
      <c r="I20" s="47"/>
      <c r="J20" s="95">
        <v>6.2E-2</v>
      </c>
    </row>
    <row r="21" spans="2:10" ht="17.25" x14ac:dyDescent="0.25">
      <c r="B21" s="91" t="s">
        <v>139</v>
      </c>
      <c r="C21" s="91"/>
      <c r="D21" s="91"/>
      <c r="E21" s="111">
        <f>E19*(1-E20)</f>
        <v>3.2972624237140369E-2</v>
      </c>
      <c r="G21" s="47" t="s">
        <v>140</v>
      </c>
      <c r="H21" s="47"/>
      <c r="I21" s="47"/>
      <c r="J21" s="88">
        <f>E28</f>
        <v>0.78510518714523325</v>
      </c>
    </row>
    <row r="22" spans="2:10" x14ac:dyDescent="0.25">
      <c r="G22" s="91" t="s">
        <v>141</v>
      </c>
      <c r="H22" s="91"/>
      <c r="I22" s="91"/>
      <c r="J22" s="98">
        <f>J19+(J20*J21)</f>
        <v>0.11627652160300445</v>
      </c>
    </row>
    <row r="23" spans="2:10" x14ac:dyDescent="0.25">
      <c r="B23" s="91" t="s">
        <v>142</v>
      </c>
      <c r="C23" s="47"/>
      <c r="D23" s="47"/>
      <c r="E23" s="47"/>
    </row>
    <row r="24" spans="2:10" x14ac:dyDescent="0.25">
      <c r="B24" s="47"/>
      <c r="C24" s="47"/>
      <c r="D24" s="47"/>
      <c r="E24" s="47"/>
      <c r="G24" s="91" t="s">
        <v>133</v>
      </c>
      <c r="H24" s="47"/>
      <c r="I24" s="47"/>
      <c r="J24" s="47"/>
    </row>
    <row r="25" spans="2:10" x14ac:dyDescent="0.25">
      <c r="B25" s="47" t="s">
        <v>146</v>
      </c>
      <c r="C25" s="47"/>
      <c r="D25" s="47"/>
      <c r="E25" s="88">
        <f>J15</f>
        <v>0.76354622861244903</v>
      </c>
      <c r="G25" s="47"/>
      <c r="H25" s="47"/>
      <c r="I25" s="46" t="s">
        <v>143</v>
      </c>
      <c r="J25" s="46" t="s">
        <v>144</v>
      </c>
    </row>
    <row r="26" spans="2:10" x14ac:dyDescent="0.25">
      <c r="B26" s="47" t="s">
        <v>147</v>
      </c>
      <c r="C26" s="47"/>
      <c r="D26" s="47"/>
      <c r="E26" s="92">
        <f>E30</f>
        <v>3.8822084740476367E-2</v>
      </c>
      <c r="G26" s="47" t="s">
        <v>145</v>
      </c>
      <c r="H26" s="61">
        <f>D10</f>
        <v>8737</v>
      </c>
      <c r="I26" s="96">
        <f>H26/H28</f>
        <v>1.8952807184721344E-2</v>
      </c>
      <c r="J26" s="97">
        <f>H14</f>
        <v>3.7371254722771023E-2</v>
      </c>
    </row>
    <row r="27" spans="2:10" x14ac:dyDescent="0.25">
      <c r="B27" s="47" t="s">
        <v>137</v>
      </c>
      <c r="C27" s="47"/>
      <c r="D27" s="47"/>
      <c r="E27" s="92">
        <f>E20</f>
        <v>0.2727</v>
      </c>
      <c r="G27" s="47" t="s">
        <v>43</v>
      </c>
      <c r="H27" s="61">
        <f>E10</f>
        <v>452250.12</v>
      </c>
      <c r="I27" s="96">
        <f>H27/H28</f>
        <v>0.98104719281527863</v>
      </c>
      <c r="J27" s="92">
        <f>J28-J26</f>
        <v>0.96262874527722897</v>
      </c>
    </row>
    <row r="28" spans="2:10" x14ac:dyDescent="0.25">
      <c r="B28" s="91" t="s">
        <v>142</v>
      </c>
      <c r="C28" s="91"/>
      <c r="D28" s="91"/>
      <c r="E28" s="112">
        <f>E25*(1+(1-E27)*E26)</f>
        <v>0.78510518714523325</v>
      </c>
      <c r="G28" s="47" t="s">
        <v>148</v>
      </c>
      <c r="H28" s="61">
        <f>H26+H27</f>
        <v>460987.12</v>
      </c>
      <c r="I28" s="96">
        <f>H28/H28</f>
        <v>1</v>
      </c>
      <c r="J28" s="92">
        <f>I28</f>
        <v>1</v>
      </c>
    </row>
    <row r="30" spans="2:10" x14ac:dyDescent="0.25">
      <c r="B30" s="91" t="s">
        <v>149</v>
      </c>
      <c r="C30" s="91"/>
      <c r="D30" s="98">
        <f>I26/I27</f>
        <v>1.9318955625705528E-2</v>
      </c>
      <c r="E30" s="98">
        <f>J26/J27</f>
        <v>3.8822084740476367E-2</v>
      </c>
      <c r="G30" s="91" t="s">
        <v>150</v>
      </c>
      <c r="H30" s="47"/>
      <c r="I30" s="47"/>
      <c r="J30" s="47"/>
    </row>
    <row r="31" spans="2:10" x14ac:dyDescent="0.25">
      <c r="G31" s="47"/>
      <c r="H31" s="47"/>
      <c r="I31" s="47" t="s">
        <v>151</v>
      </c>
      <c r="J31" s="47" t="s">
        <v>152</v>
      </c>
    </row>
    <row r="32" spans="2:10" x14ac:dyDescent="0.25">
      <c r="B32" s="40" t="s">
        <v>154</v>
      </c>
      <c r="G32" s="47" t="s">
        <v>153</v>
      </c>
      <c r="H32" s="47"/>
      <c r="I32" s="92">
        <f>E21</f>
        <v>3.2972624237140369E-2</v>
      </c>
      <c r="J32" s="92">
        <f>J26</f>
        <v>3.7371254722771023E-2</v>
      </c>
    </row>
    <row r="33" spans="2:10" x14ac:dyDescent="0.25">
      <c r="B33" s="40" t="s">
        <v>155</v>
      </c>
      <c r="G33" s="47" t="s">
        <v>129</v>
      </c>
      <c r="H33" s="47"/>
      <c r="I33" s="92">
        <f>J22</f>
        <v>0.11627652160300445</v>
      </c>
      <c r="J33" s="92">
        <f>J27</f>
        <v>0.96262874527722897</v>
      </c>
    </row>
    <row r="34" spans="2:10" x14ac:dyDescent="0.25">
      <c r="B34" s="40" t="s">
        <v>156</v>
      </c>
      <c r="G34" s="91" t="s">
        <v>150</v>
      </c>
      <c r="H34" s="91"/>
      <c r="I34" s="91"/>
      <c r="J34" s="98">
        <f>SUMPRODUCT(I32:I33,J32:J33)</f>
        <v>0.11316335043514517</v>
      </c>
    </row>
    <row r="35" spans="2:10" x14ac:dyDescent="0.25">
      <c r="B35" s="40" t="s">
        <v>157</v>
      </c>
    </row>
    <row r="36" spans="2:10" x14ac:dyDescent="0.25">
      <c r="B36" s="40" t="s">
        <v>158</v>
      </c>
    </row>
  </sheetData>
  <pageMargins left="0.25" right="0.25" top="0.75" bottom="0.75" header="0.3" footer="0.3"/>
  <pageSetup scale="78" fitToWidth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1C39-F4EA-40B1-B612-CCEEC8A2785E}">
  <dimension ref="B2:O10"/>
  <sheetViews>
    <sheetView showGridLines="0" tabSelected="1" workbookViewId="0">
      <selection activeCell="Q17" sqref="Q17"/>
    </sheetView>
  </sheetViews>
  <sheetFormatPr defaultRowHeight="15" x14ac:dyDescent="0.25"/>
  <cols>
    <col min="1" max="1" width="2" customWidth="1"/>
    <col min="12" max="12" width="9.42578125" bestFit="1" customWidth="1"/>
    <col min="13" max="13" width="9.28515625" bestFit="1" customWidth="1"/>
    <col min="14" max="14" width="9.85546875" bestFit="1" customWidth="1"/>
    <col min="15" max="15" width="9.28515625" bestFit="1" customWidth="1"/>
  </cols>
  <sheetData>
    <row r="2" spans="2:15" x14ac:dyDescent="0.25">
      <c r="B2" s="131" t="s">
        <v>276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</row>
    <row r="4" spans="2:15" x14ac:dyDescent="0.25">
      <c r="J4" s="121" t="s">
        <v>284</v>
      </c>
      <c r="K4" s="132" t="s">
        <v>285</v>
      </c>
      <c r="L4" s="132"/>
      <c r="M4" s="132"/>
      <c r="N4" s="132"/>
      <c r="O4" s="132"/>
    </row>
    <row r="5" spans="2:15" x14ac:dyDescent="0.25">
      <c r="K5" s="120"/>
      <c r="L5" s="120" t="s">
        <v>282</v>
      </c>
      <c r="M5" s="120" t="s">
        <v>200</v>
      </c>
      <c r="N5" s="120" t="s">
        <v>283</v>
      </c>
      <c r="O5" s="120" t="s">
        <v>198</v>
      </c>
    </row>
    <row r="6" spans="2:15" x14ac:dyDescent="0.25">
      <c r="K6" s="120" t="s">
        <v>277</v>
      </c>
      <c r="L6" s="79">
        <f>'Relative Valuation'!$L$24</f>
        <v>1204.1597859307456</v>
      </c>
      <c r="M6" s="79">
        <f>'Relative Valuation'!$L$24</f>
        <v>1204.1597859307456</v>
      </c>
      <c r="N6" s="79">
        <f>'Relative Valuation'!$N$24</f>
        <v>1436.8456876599969</v>
      </c>
      <c r="O6" s="79">
        <f>'Relative Valuation'!$N$24</f>
        <v>1436.8456876599969</v>
      </c>
    </row>
    <row r="7" spans="2:15" x14ac:dyDescent="0.25">
      <c r="K7" s="120" t="s">
        <v>278</v>
      </c>
      <c r="L7" s="79">
        <f>'DCF Valuation Model'!$K$36</f>
        <v>1020.3736991169262</v>
      </c>
      <c r="M7" s="79">
        <f>'DCF Valuation Model'!$K$36</f>
        <v>1020.3736991169262</v>
      </c>
      <c r="N7" s="79">
        <f>'DCF Valuation Model'!$K$40</f>
        <v>1552.7529612957521</v>
      </c>
      <c r="O7" s="79">
        <f>'DCF Valuation Model'!$K$40</f>
        <v>1552.7529612957521</v>
      </c>
    </row>
    <row r="8" spans="2:15" x14ac:dyDescent="0.25">
      <c r="K8" s="120" t="s">
        <v>279</v>
      </c>
      <c r="L8" s="79">
        <f>'DCF Valuation Model'!$J$36</f>
        <v>1072.0236601825472</v>
      </c>
      <c r="M8" s="79">
        <f>'DCF Valuation Model'!$J$36</f>
        <v>1072.0236601825472</v>
      </c>
      <c r="N8" s="79">
        <f>'DCF Valuation Model'!$J$40</f>
        <v>1722.3734083663705</v>
      </c>
      <c r="O8" s="79">
        <f>'DCF Valuation Model'!$J$40</f>
        <v>1722.3734083663705</v>
      </c>
    </row>
    <row r="9" spans="2:15" x14ac:dyDescent="0.25">
      <c r="K9" s="120" t="s">
        <v>280</v>
      </c>
      <c r="L9" s="79">
        <f>'DCF Valuation Model'!$H$36</f>
        <v>1199.0217997438981</v>
      </c>
      <c r="M9" s="79">
        <f>'DCF Valuation Model'!$H$36</f>
        <v>1199.0217997438981</v>
      </c>
      <c r="N9" s="79">
        <f>'DCF Valuation Model'!$H$40</f>
        <v>2239.7870410271635</v>
      </c>
      <c r="O9" s="79">
        <f>'DCF Valuation Model'!$H$40</f>
        <v>2239.7870410271635</v>
      </c>
    </row>
    <row r="10" spans="2:15" x14ac:dyDescent="0.25">
      <c r="K10" s="120" t="s">
        <v>281</v>
      </c>
      <c r="L10" s="79">
        <v>982.4</v>
      </c>
      <c r="M10" s="79">
        <v>982.4</v>
      </c>
      <c r="N10" s="79">
        <v>1728</v>
      </c>
      <c r="O10" s="79">
        <v>1728</v>
      </c>
    </row>
  </sheetData>
  <mergeCells count="2">
    <mergeCell ref="B2:O2"/>
    <mergeCell ref="K4:O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ED2C8-5628-4711-A51E-6DA8C1F997F9}">
  <sheetPr>
    <tabColor rgb="FF002060"/>
  </sheetPr>
  <dimension ref="A1"/>
  <sheetViews>
    <sheetView workbookViewId="0">
      <selection activeCell="M1" sqref="M1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BBA2B-02D2-4BAD-A535-989C16D56A85}">
  <sheetPr>
    <pageSetUpPr fitToPage="1"/>
  </sheetPr>
  <dimension ref="B2:L44"/>
  <sheetViews>
    <sheetView showGridLines="0" topLeftCell="A10" workbookViewId="0">
      <selection activeCell="N33" sqref="N33"/>
    </sheetView>
  </sheetViews>
  <sheetFormatPr defaultRowHeight="15" x14ac:dyDescent="0.25"/>
  <cols>
    <col min="1" max="1" width="2" customWidth="1"/>
    <col min="2" max="2" width="24.140625" bestFit="1" customWidth="1"/>
  </cols>
  <sheetData>
    <row r="2" spans="2:12" x14ac:dyDescent="0.25">
      <c r="B2" s="131" t="str">
        <f>"Common Size Income Statement"&amp; "-" &amp;'Data Sheet'!B1</f>
        <v>Common Size Income Statement-INFOSYS LTD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</row>
    <row r="4" spans="2:12" x14ac:dyDescent="0.25">
      <c r="B4" s="10" t="s">
        <v>118</v>
      </c>
      <c r="C4" s="37">
        <f>'Data Sheet'!B16</f>
        <v>42825</v>
      </c>
      <c r="D4" s="37">
        <f>'Data Sheet'!C16</f>
        <v>43190</v>
      </c>
      <c r="E4" s="37">
        <f>'Data Sheet'!D16</f>
        <v>43555</v>
      </c>
      <c r="F4" s="37">
        <f>'Data Sheet'!E16</f>
        <v>43921</v>
      </c>
      <c r="G4" s="37">
        <f>'Data Sheet'!F16</f>
        <v>44286</v>
      </c>
      <c r="H4" s="37">
        <f>'Data Sheet'!G16</f>
        <v>44651</v>
      </c>
      <c r="I4" s="37">
        <f>'Data Sheet'!H16</f>
        <v>45016</v>
      </c>
      <c r="J4" s="37">
        <f>'Data Sheet'!I16</f>
        <v>45382</v>
      </c>
      <c r="K4" s="37">
        <f>'Data Sheet'!J16</f>
        <v>45747</v>
      </c>
      <c r="L4" s="37">
        <f>'Data Sheet'!K16</f>
        <v>46112</v>
      </c>
    </row>
    <row r="6" spans="2:12" x14ac:dyDescent="0.25">
      <c r="B6" s="64" t="s">
        <v>1</v>
      </c>
      <c r="C6" s="99">
        <f>IFERROR('Data Sheet'!B17/'Data Sheet'!B$17,0)</f>
        <v>1</v>
      </c>
      <c r="D6" s="99">
        <f>IFERROR('Data Sheet'!C17/'Data Sheet'!C$17,0)</f>
        <v>1</v>
      </c>
      <c r="E6" s="99">
        <f>IFERROR('Data Sheet'!D17/'Data Sheet'!D$17,0)</f>
        <v>1</v>
      </c>
      <c r="F6" s="99">
        <f>IFERROR('Data Sheet'!E17/'Data Sheet'!E$17,0)</f>
        <v>1</v>
      </c>
      <c r="G6" s="99">
        <f>IFERROR('Data Sheet'!F17/'Data Sheet'!F$17,0)</f>
        <v>1</v>
      </c>
      <c r="H6" s="99">
        <f>IFERROR('Data Sheet'!G17/'Data Sheet'!G$17,0)</f>
        <v>1</v>
      </c>
      <c r="I6" s="99">
        <f>IFERROR('Data Sheet'!H17/'Data Sheet'!H$17,0)</f>
        <v>1</v>
      </c>
      <c r="J6" s="99">
        <f>IFERROR('Data Sheet'!I17/'Data Sheet'!I$17,0)</f>
        <v>1</v>
      </c>
      <c r="K6" s="99">
        <f>IFERROR('Data Sheet'!J17/'Data Sheet'!J$17,0)</f>
        <v>1</v>
      </c>
      <c r="L6" s="99">
        <f>IFERROR('Data Sheet'!K17/'Data Sheet'!K$17,0)</f>
        <v>1</v>
      </c>
    </row>
    <row r="7" spans="2:12" x14ac:dyDescent="0.25">
      <c r="B7" s="64" t="s">
        <v>44</v>
      </c>
      <c r="C7" s="99">
        <f>IFERROR('Data Sheet'!B18/'Data Sheet'!B$17,0)</f>
        <v>0</v>
      </c>
      <c r="D7" s="99">
        <f>IFERROR('Data Sheet'!C18/'Data Sheet'!C$17,0)</f>
        <v>0</v>
      </c>
      <c r="E7" s="99">
        <f>IFERROR('Data Sheet'!D18/'Data Sheet'!D$17,0)</f>
        <v>0</v>
      </c>
      <c r="F7" s="99">
        <f>IFERROR('Data Sheet'!E18/'Data Sheet'!E$17,0)</f>
        <v>0</v>
      </c>
      <c r="G7" s="99">
        <f>IFERROR('Data Sheet'!F18/'Data Sheet'!F$17,0)</f>
        <v>0</v>
      </c>
      <c r="H7" s="99">
        <f>IFERROR('Data Sheet'!G18/'Data Sheet'!G$17,0)</f>
        <v>0</v>
      </c>
      <c r="I7" s="99">
        <f>IFERROR('Data Sheet'!H18/'Data Sheet'!H$17,0)</f>
        <v>0</v>
      </c>
      <c r="J7" s="99">
        <f>IFERROR('Data Sheet'!I18/'Data Sheet'!I$17,0)</f>
        <v>0</v>
      </c>
      <c r="K7" s="99">
        <f>IFERROR('Data Sheet'!J18/'Data Sheet'!J$17,0)</f>
        <v>0</v>
      </c>
      <c r="L7" s="99">
        <f>IFERROR('Data Sheet'!K18/'Data Sheet'!K$17,0)</f>
        <v>0</v>
      </c>
    </row>
    <row r="8" spans="2:12" x14ac:dyDescent="0.25">
      <c r="B8" s="64" t="s">
        <v>45</v>
      </c>
      <c r="C8" s="99">
        <f>IFERROR('Data Sheet'!B19/'Data Sheet'!B$17,0)</f>
        <v>0</v>
      </c>
      <c r="D8" s="99">
        <f>IFERROR('Data Sheet'!C19/'Data Sheet'!C$17,0)</f>
        <v>0</v>
      </c>
      <c r="E8" s="99">
        <f>IFERROR('Data Sheet'!D19/'Data Sheet'!D$17,0)</f>
        <v>0</v>
      </c>
      <c r="F8" s="99">
        <f>IFERROR('Data Sheet'!E19/'Data Sheet'!E$17,0)</f>
        <v>0</v>
      </c>
      <c r="G8" s="99">
        <f>IFERROR('Data Sheet'!F19/'Data Sheet'!F$17,0)</f>
        <v>0</v>
      </c>
      <c r="H8" s="99">
        <f>IFERROR('Data Sheet'!G19/'Data Sheet'!G$17,0)</f>
        <v>0</v>
      </c>
      <c r="I8" s="99">
        <f>IFERROR('Data Sheet'!H19/'Data Sheet'!H$17,0)</f>
        <v>0</v>
      </c>
      <c r="J8" s="99">
        <f>IFERROR('Data Sheet'!I19/'Data Sheet'!I$17,0)</f>
        <v>0</v>
      </c>
      <c r="K8" s="99">
        <f>IFERROR('Data Sheet'!J19/'Data Sheet'!J$17,0)</f>
        <v>0</v>
      </c>
      <c r="L8" s="99">
        <f>IFERROR('Data Sheet'!K19/'Data Sheet'!K$17,0)</f>
        <v>0</v>
      </c>
    </row>
    <row r="9" spans="2:12" x14ac:dyDescent="0.25">
      <c r="B9" s="64" t="s">
        <v>46</v>
      </c>
      <c r="C9" s="99">
        <f>IFERROR('Data Sheet'!B20/'Data Sheet'!B$17,0)</f>
        <v>3.3292447871035571E-3</v>
      </c>
      <c r="D9" s="99">
        <f>IFERROR('Data Sheet'!C20/'Data Sheet'!C$17,0)</f>
        <v>2.9352542469016762E-3</v>
      </c>
      <c r="E9" s="99">
        <f>IFERROR('Data Sheet'!D20/'Data Sheet'!D$17,0)</f>
        <v>2.6731176292712428E-3</v>
      </c>
      <c r="F9" s="99">
        <f>IFERROR('Data Sheet'!E20/'Data Sheet'!E$17,0)</f>
        <v>2.5222764370917824E-3</v>
      </c>
      <c r="G9" s="99">
        <f>IFERROR('Data Sheet'!F20/'Data Sheet'!F$17,0)</f>
        <v>1.4232821084481249E-3</v>
      </c>
      <c r="H9" s="99">
        <f>IFERROR('Data Sheet'!G20/'Data Sheet'!G$17,0)</f>
        <v>1.0851604311046439E-3</v>
      </c>
      <c r="I9" s="99">
        <f>IFERROR('Data Sheet'!H20/'Data Sheet'!H$17,0)</f>
        <v>1.1991796521016304E-3</v>
      </c>
      <c r="J9" s="99">
        <f>IFERROR('Data Sheet'!I20/'Data Sheet'!I$17,0)</f>
        <v>1.2949827552547668E-3</v>
      </c>
      <c r="K9" s="99">
        <f>IFERROR('Data Sheet'!J20/'Data Sheet'!J$17,0)</f>
        <v>1.3620467513344376E-3</v>
      </c>
      <c r="L9" s="99">
        <f>IFERROR('Data Sheet'!K20/'Data Sheet'!K$17,0)</f>
        <v>1.248250769661349E-3</v>
      </c>
    </row>
    <row r="10" spans="2:12" x14ac:dyDescent="0.25">
      <c r="B10" s="64" t="s">
        <v>47</v>
      </c>
      <c r="C10" s="99">
        <f>IFERROR('Data Sheet'!B21/'Data Sheet'!B$17,0)</f>
        <v>9.8008293908066119E-2</v>
      </c>
      <c r="D10" s="99">
        <f>IFERROR('Data Sheet'!C21/'Data Sheet'!C$17,0)</f>
        <v>0.1033152775020561</v>
      </c>
      <c r="E10" s="99">
        <f>IFERROR('Data Sheet'!D21/'Data Sheet'!D$17,0)</f>
        <v>0.11977018445721198</v>
      </c>
      <c r="F10" s="99">
        <f>IFERROR('Data Sheet'!E21/'Data Sheet'!E$17,0)</f>
        <v>0.12210461389344759</v>
      </c>
      <c r="G10" s="99">
        <f>IFERROR('Data Sheet'!F21/'Data Sheet'!F$17,0)</f>
        <v>0.12739867823871329</v>
      </c>
      <c r="H10" s="99">
        <f>IFERROR('Data Sheet'!G21/'Data Sheet'!G$17,0)</f>
        <v>0.17009067666329608</v>
      </c>
      <c r="I10" s="99">
        <f>IFERROR('Data Sheet'!H21/'Data Sheet'!H$17,0)</f>
        <v>0.17940000136270415</v>
      </c>
      <c r="J10" s="99">
        <f>IFERROR('Data Sheet'!I21/'Data Sheet'!I$17,0)</f>
        <v>0.17697013079976573</v>
      </c>
      <c r="K10" s="99">
        <f>IFERROR('Data Sheet'!J21/'Data Sheet'!J$17,0)</f>
        <v>0.18648383336401006</v>
      </c>
      <c r="L10" s="99">
        <f>IFERROR('Data Sheet'!K21/'Data Sheet'!K$17,0)</f>
        <v>0.18428211586901763</v>
      </c>
    </row>
    <row r="11" spans="2:12" x14ac:dyDescent="0.25">
      <c r="B11" s="64" t="s">
        <v>48</v>
      </c>
      <c r="C11" s="99">
        <f>IFERROR('Data Sheet'!B22/'Data Sheet'!B$17,0)</f>
        <v>0.55004088546229779</v>
      </c>
      <c r="D11" s="99">
        <f>IFERROR('Data Sheet'!C22/'Data Sheet'!C$17,0)</f>
        <v>0.5516292788066135</v>
      </c>
      <c r="E11" s="99">
        <f>IFERROR('Data Sheet'!D22/'Data Sheet'!D$17,0)</f>
        <v>0.54820683398850922</v>
      </c>
      <c r="F11" s="99">
        <f>IFERROR('Data Sheet'!E22/'Data Sheet'!E$17,0)</f>
        <v>0.5605731845667522</v>
      </c>
      <c r="G11" s="99">
        <f>IFERROR('Data Sheet'!F22/'Data Sheet'!F$17,0)</f>
        <v>0.55286049844732865</v>
      </c>
      <c r="H11" s="99">
        <f>IFERROR('Data Sheet'!G22/'Data Sheet'!G$17,0)</f>
        <v>0.52611372810154466</v>
      </c>
      <c r="I11" s="99">
        <f>IFERROR('Data Sheet'!H22/'Data Sheet'!H$17,0)</f>
        <v>0.53400287530575674</v>
      </c>
      <c r="J11" s="99">
        <f>IFERROR('Data Sheet'!I22/'Data Sheet'!I$17,0)</f>
        <v>0.53774972343333116</v>
      </c>
      <c r="K11" s="99">
        <f>IFERROR('Data Sheet'!J22/'Data Sheet'!J$17,0)</f>
        <v>0.52744340143567092</v>
      </c>
      <c r="L11" s="99">
        <f>IFERROR('Data Sheet'!K22/'Data Sheet'!K$17,0)</f>
        <v>0.53239294710327456</v>
      </c>
    </row>
    <row r="12" spans="2:12" x14ac:dyDescent="0.25">
      <c r="B12" s="64" t="s">
        <v>49</v>
      </c>
      <c r="C12" s="99">
        <f>IFERROR('Data Sheet'!B23/'Data Sheet'!B$17,0)</f>
        <v>6.6935342561766253E-2</v>
      </c>
      <c r="D12" s="99">
        <f>IFERROR('Data Sheet'!C23/'Data Sheet'!C$17,0)</f>
        <v>6.5015172570261764E-2</v>
      </c>
      <c r="E12" s="99">
        <f>IFERROR('Data Sheet'!D23/'Data Sheet'!D$17,0)</f>
        <v>6.7166616268521315E-2</v>
      </c>
      <c r="F12" s="99">
        <f>IFERROR('Data Sheet'!E23/'Data Sheet'!E$17,0)</f>
        <v>5.9201903272350781E-2</v>
      </c>
      <c r="G12" s="99">
        <f>IFERROR('Data Sheet'!F23/'Data Sheet'!F$17,0)</f>
        <v>3.1789951429253921E-2</v>
      </c>
      <c r="H12" s="99">
        <f>IFERROR('Data Sheet'!G23/'Data Sheet'!G$17,0)</f>
        <v>3.5391027696253727E-2</v>
      </c>
      <c r="I12" s="99">
        <f>IFERROR('Data Sheet'!H23/'Data Sheet'!H$17,0)</f>
        <v>3.6111659978060463E-2</v>
      </c>
      <c r="J12" s="99">
        <f>IFERROR('Data Sheet'!I23/'Data Sheet'!I$17,0)</f>
        <v>3.712500813431379E-2</v>
      </c>
      <c r="K12" s="99">
        <f>IFERROR('Data Sheet'!J23/'Data Sheet'!J$17,0)</f>
        <v>3.7051352843732746E-2</v>
      </c>
      <c r="L12" s="99">
        <f>IFERROR('Data Sheet'!K23/'Data Sheet'!K$17,0)</f>
        <v>3.7973691575706688E-2</v>
      </c>
    </row>
    <row r="13" spans="2:12" x14ac:dyDescent="0.25">
      <c r="B13" s="64" t="s">
        <v>50</v>
      </c>
      <c r="C13" s="99">
        <f>IFERROR('Data Sheet'!B24/'Data Sheet'!B$17,0)</f>
        <v>1.0031540213772561E-2</v>
      </c>
      <c r="D13" s="99">
        <f>IFERROR('Data Sheet'!C24/'Data Sheet'!C$17,0)</f>
        <v>1.0209579989223221E-2</v>
      </c>
      <c r="E13" s="99">
        <f>IFERROR('Data Sheet'!D24/'Data Sheet'!D$17,0)</f>
        <v>1.8215905654671908E-2</v>
      </c>
      <c r="F13" s="99">
        <f>IFERROR('Data Sheet'!E24/'Data Sheet'!E$17,0)</f>
        <v>1.0342434822834862E-2</v>
      </c>
      <c r="G13" s="99">
        <f>IFERROR('Data Sheet'!F24/'Data Sheet'!F$17,0)</f>
        <v>8.9477665419221281E-3</v>
      </c>
      <c r="H13" s="99">
        <f>IFERROR('Data Sheet'!G24/'Data Sheet'!G$17,0)</f>
        <v>8.4346560781315503E-3</v>
      </c>
      <c r="I13" s="99">
        <f>IFERROR('Data Sheet'!H24/'Data Sheet'!H$17,0)</f>
        <v>9.9272997335913393E-3</v>
      </c>
      <c r="J13" s="99">
        <f>IFERROR('Data Sheet'!I24/'Data Sheet'!I$17,0)</f>
        <v>9.8262510574607925E-3</v>
      </c>
      <c r="K13" s="99">
        <f>IFERROR('Data Sheet'!J24/'Data Sheet'!J$17,0)</f>
        <v>6.9329406712068222E-3</v>
      </c>
      <c r="L13" s="99">
        <f>IFERROR('Data Sheet'!K24/'Data Sheet'!K$17,0)</f>
        <v>7.4391267842149455E-3</v>
      </c>
    </row>
    <row r="14" spans="2:12" x14ac:dyDescent="0.25">
      <c r="B14" s="64" t="s">
        <v>4</v>
      </c>
      <c r="C14" s="99">
        <f>IFERROR('Data Sheet'!B25/'Data Sheet'!B$17,0)</f>
        <v>4.4535950002920391E-2</v>
      </c>
      <c r="D14" s="99">
        <f>IFERROR('Data Sheet'!C25/'Data Sheet'!C$17,0)</f>
        <v>4.6949887978219564E-2</v>
      </c>
      <c r="E14" s="99">
        <f>IFERROR('Data Sheet'!D25/'Data Sheet'!D$17,0)</f>
        <v>3.4859389174478381E-2</v>
      </c>
      <c r="F14" s="99">
        <f>IFERROR('Data Sheet'!E25/'Data Sheet'!E$17,0)</f>
        <v>3.0873104162306837E-2</v>
      </c>
      <c r="G14" s="99">
        <f>IFERROR('Data Sheet'!F25/'Data Sheet'!F$17,0)</f>
        <v>2.1906600844016244E-2</v>
      </c>
      <c r="H14" s="99">
        <f>IFERROR('Data Sheet'!G25/'Data Sheet'!G$17,0)</f>
        <v>1.886699385897847E-2</v>
      </c>
      <c r="I14" s="99">
        <f>IFERROR('Data Sheet'!H25/'Data Sheet'!H$17,0)</f>
        <v>1.8403319547309682E-2</v>
      </c>
      <c r="J14" s="99">
        <f>IFERROR('Data Sheet'!I25/'Data Sheet'!I$17,0)</f>
        <v>3.0656601809071388E-2</v>
      </c>
      <c r="K14" s="99">
        <f>IFERROR('Data Sheet'!J25/'Data Sheet'!J$17,0)</f>
        <v>2.2087244616234125E-2</v>
      </c>
      <c r="L14" s="99">
        <f>IFERROR('Data Sheet'!K25/'Data Sheet'!K$17,0)</f>
        <v>1.6977329974811082E-2</v>
      </c>
    </row>
    <row r="15" spans="2:12" x14ac:dyDescent="0.25">
      <c r="B15" s="64" t="s">
        <v>5</v>
      </c>
      <c r="C15" s="99">
        <f>IFERROR('Data Sheet'!B26/'Data Sheet'!B$17,0)</f>
        <v>2.4867122247532271E-2</v>
      </c>
      <c r="D15" s="99">
        <f>IFERROR('Data Sheet'!C26/'Data Sheet'!C$17,0)</f>
        <v>2.6417288222115084E-2</v>
      </c>
      <c r="E15" s="99">
        <f>IFERROR('Data Sheet'!D26/'Data Sheet'!D$17,0)</f>
        <v>2.4324160870879952E-2</v>
      </c>
      <c r="F15" s="99">
        <f>IFERROR('Data Sheet'!E26/'Data Sheet'!E$17,0)</f>
        <v>3.1864391845006661E-2</v>
      </c>
      <c r="G15" s="99">
        <f>IFERROR('Data Sheet'!F26/'Data Sheet'!F$17,0)</f>
        <v>3.2516522016084085E-2</v>
      </c>
      <c r="H15" s="99">
        <f>IFERROR('Data Sheet'!G26/'Data Sheet'!G$17,0)</f>
        <v>2.8575891352422292E-2</v>
      </c>
      <c r="I15" s="99">
        <f>IFERROR('Data Sheet'!H26/'Data Sheet'!H$17,0)</f>
        <v>2.8787125171189708E-2</v>
      </c>
      <c r="J15" s="99">
        <f>IFERROR('Data Sheet'!I26/'Data Sheet'!I$17,0)</f>
        <v>3.0441855925034164E-2</v>
      </c>
      <c r="K15" s="99">
        <f>IFERROR('Data Sheet'!J26/'Data Sheet'!J$17,0)</f>
        <v>2.9523283637032948E-2</v>
      </c>
      <c r="L15" s="99">
        <f>IFERROR('Data Sheet'!K26/'Data Sheet'!K$17,0)</f>
        <v>2.7439126784214944E-2</v>
      </c>
    </row>
    <row r="16" spans="2:12" x14ac:dyDescent="0.25">
      <c r="B16" s="64" t="s">
        <v>6</v>
      </c>
      <c r="C16" s="99">
        <f>IFERROR('Data Sheet'!B27/'Data Sheet'!B$17,0)</f>
        <v>0</v>
      </c>
      <c r="D16" s="99">
        <f>IFERROR('Data Sheet'!C27/'Data Sheet'!C$17,0)</f>
        <v>0</v>
      </c>
      <c r="E16" s="99">
        <f>IFERROR('Data Sheet'!D27/'Data Sheet'!D$17,0)</f>
        <v>0</v>
      </c>
      <c r="F16" s="99">
        <f>IFERROR('Data Sheet'!E27/'Data Sheet'!E$17,0)</f>
        <v>1.8724322895441179E-3</v>
      </c>
      <c r="G16" s="99">
        <f>IFERROR('Data Sheet'!F27/'Data Sheet'!F$17,0)</f>
        <v>1.9408392387928975E-3</v>
      </c>
      <c r="H16" s="99">
        <f>IFERROR('Data Sheet'!G27/'Data Sheet'!G$17,0)</f>
        <v>1.6441824713706726E-3</v>
      </c>
      <c r="I16" s="99">
        <f>IFERROR('Data Sheet'!H27/'Data Sheet'!H$17,0)</f>
        <v>1.9350398931639945E-3</v>
      </c>
      <c r="J16" s="99">
        <f>IFERROR('Data Sheet'!I27/'Data Sheet'!I$17,0)</f>
        <v>3.0585019847725646E-3</v>
      </c>
      <c r="K16" s="99">
        <f>IFERROR('Data Sheet'!J27/'Data Sheet'!J$17,0)</f>
        <v>2.5523038223203877E-3</v>
      </c>
      <c r="L16" s="99">
        <f>IFERROR('Data Sheet'!K27/'Data Sheet'!K$17,0)</f>
        <v>2.3285754268122026E-3</v>
      </c>
    </row>
    <row r="17" spans="2:12" x14ac:dyDescent="0.25">
      <c r="B17" s="64" t="s">
        <v>7</v>
      </c>
      <c r="C17" s="99">
        <f>IFERROR('Data Sheet'!B28/'Data Sheet'!B$17,0)</f>
        <v>0.29132352082238189</v>
      </c>
      <c r="D17" s="99">
        <f>IFERROR('Data Sheet'!C28/'Data Sheet'!C$17,0)</f>
        <v>0.28742803664104816</v>
      </c>
      <c r="E17" s="99">
        <f>IFERROR('Data Sheet'!D28/'Data Sheet'!D$17,0)</f>
        <v>0.25450257030541273</v>
      </c>
      <c r="F17" s="99">
        <f>IFERROR('Data Sheet'!E28/'Data Sheet'!E$17,0)</f>
        <v>0.24239186703527882</v>
      </c>
      <c r="G17" s="99">
        <f>IFERROR('Data Sheet'!F28/'Data Sheet'!F$17,0)</f>
        <v>0.26502906282347322</v>
      </c>
      <c r="H17" s="99">
        <f>IFERROR('Data Sheet'!G28/'Data Sheet'!G$17,0)</f>
        <v>0.24753167106485477</v>
      </c>
      <c r="I17" s="99">
        <f>IFERROR('Data Sheet'!H28/'Data Sheet'!H$17,0)</f>
        <v>0.22704013845074164</v>
      </c>
      <c r="J17" s="99">
        <f>IFERROR('Data Sheet'!I28/'Data Sheet'!I$17,0)</f>
        <v>0.2341901477191384</v>
      </c>
      <c r="K17" s="99">
        <f>IFERROR('Data Sheet'!J28/'Data Sheet'!J$17,0)</f>
        <v>0.23073808209092583</v>
      </c>
      <c r="L17" s="99">
        <f>IFERROR('Data Sheet'!K28/'Data Sheet'!K$17,0)</f>
        <v>0.22387349566190876</v>
      </c>
    </row>
    <row r="18" spans="2:12" x14ac:dyDescent="0.25">
      <c r="B18" s="64" t="s">
        <v>8</v>
      </c>
      <c r="C18" s="99">
        <f>IFERROR('Data Sheet'!B29/'Data Sheet'!B$17,0)</f>
        <v>8.1741720693884704E-2</v>
      </c>
      <c r="D18" s="99">
        <f>IFERROR('Data Sheet'!C29/'Data Sheet'!C$17,0)</f>
        <v>6.0137262130966221E-2</v>
      </c>
      <c r="E18" s="99">
        <f>IFERROR('Data Sheet'!D29/'Data Sheet'!D$17,0)</f>
        <v>6.8110069549440586E-2</v>
      </c>
      <c r="F18" s="99">
        <f>IFERROR('Data Sheet'!E29/'Data Sheet'!E$17,0)</f>
        <v>5.9124803119251911E-2</v>
      </c>
      <c r="G18" s="99">
        <f>IFERROR('Data Sheet'!F29/'Data Sheet'!F$17,0)</f>
        <v>7.1711521617963209E-2</v>
      </c>
      <c r="H18" s="99">
        <f>IFERROR('Data Sheet'!G29/'Data Sheet'!G$17,0)</f>
        <v>6.5471346009980183E-2</v>
      </c>
      <c r="I18" s="99">
        <f>IFERROR('Data Sheet'!H29/'Data Sheet'!H$17,0)</f>
        <v>6.2779780195820589E-2</v>
      </c>
      <c r="J18" s="99">
        <f>IFERROR('Data Sheet'!I29/'Data Sheet'!I$17,0)</f>
        <v>6.3382573046137827E-2</v>
      </c>
      <c r="K18" s="99">
        <f>IFERROR('Data Sheet'!J29/'Data Sheet'!J$17,0)</f>
        <v>6.6617583900852817E-2</v>
      </c>
      <c r="L18" s="99">
        <f>IFERROR('Data Sheet'!K29/'Data Sheet'!K$17,0)</f>
        <v>5.8891687657430733E-2</v>
      </c>
    </row>
    <row r="19" spans="2:12" x14ac:dyDescent="0.25">
      <c r="B19" s="64" t="s">
        <v>9</v>
      </c>
      <c r="C19" s="99">
        <f>IFERROR('Data Sheet'!B30/'Data Sheet'!B$17,0)</f>
        <v>0.20958180012849717</v>
      </c>
      <c r="D19" s="99">
        <f>IFERROR('Data Sheet'!C30/'Data Sheet'!C$17,0)</f>
        <v>0.22729077451008195</v>
      </c>
      <c r="E19" s="99">
        <f>IFERROR('Data Sheet'!D30/'Data Sheet'!D$17,0)</f>
        <v>0.1863199274266707</v>
      </c>
      <c r="F19" s="99">
        <f>IFERROR('Data Sheet'!E30/'Data Sheet'!E$17,0)</f>
        <v>0.182771420074677</v>
      </c>
      <c r="G19" s="99">
        <f>IFERROR('Data Sheet'!F30/'Data Sheet'!F$17,0)</f>
        <v>0.19260092364041723</v>
      </c>
      <c r="H19" s="99">
        <f>IFERROR('Data Sheet'!G30/'Data Sheet'!G$17,0)</f>
        <v>0.18176437221002786</v>
      </c>
      <c r="I19" s="99">
        <f>IFERROR('Data Sheet'!H30/'Data Sheet'!H$17,0)</f>
        <v>0.16417178248516356</v>
      </c>
      <c r="J19" s="99">
        <f>IFERROR('Data Sheet'!I30/'Data Sheet'!I$17,0)</f>
        <v>0.17070996290752913</v>
      </c>
      <c r="K19" s="99">
        <f>IFERROR('Data Sheet'!J30/'Data Sheet'!J$17,0)</f>
        <v>0.16389349039818393</v>
      </c>
      <c r="L19" s="99">
        <f>IFERROR('Data Sheet'!K30/'Data Sheet'!K$17,0)</f>
        <v>0.16479149174363281</v>
      </c>
    </row>
    <row r="20" spans="2:12" x14ac:dyDescent="0.25">
      <c r="B20" s="64" t="s">
        <v>34</v>
      </c>
      <c r="C20" s="99">
        <f>IFERROR('Data Sheet'!B31/'Data Sheet'!B$17,0)</f>
        <v>8.6028853454821572E-2</v>
      </c>
      <c r="D20" s="99">
        <f>IFERROR('Data Sheet'!C31/'Data Sheet'!C$17,0)</f>
        <v>0.13422194492498796</v>
      </c>
      <c r="E20" s="99">
        <f>IFERROR('Data Sheet'!D31/'Data Sheet'!D$17,0)</f>
        <v>0.11155125491381918</v>
      </c>
      <c r="F20" s="99">
        <f>IFERROR('Data Sheet'!E31/'Data Sheet'!E$17,0)</f>
        <v>8.1803262437906837E-2</v>
      </c>
      <c r="G20" s="99">
        <f>IFERROR('Data Sheet'!F31/'Data Sheet'!F$17,0)</f>
        <v>0.11415717811927702</v>
      </c>
      <c r="H20" s="99">
        <f>IFERROR('Data Sheet'!G31/'Data Sheet'!G$17,0)</f>
        <v>0.10693433957300581</v>
      </c>
      <c r="I20" s="99">
        <f>IFERROR('Data Sheet'!H31/'Data Sheet'!H$17,0)</f>
        <v>9.5860786144024213E-2</v>
      </c>
      <c r="J20" s="99">
        <f>IFERROR('Data Sheet'!I31/'Data Sheet'!I$17,0)</f>
        <v>0.12398776599206092</v>
      </c>
      <c r="K20" s="99">
        <f>IFERROR('Data Sheet'!J31/'Data Sheet'!J$17,0)</f>
        <v>0.10937971654702743</v>
      </c>
      <c r="L20" s="99">
        <f>IFERROR('Data Sheet'!K31/'Data Sheet'!K$17,0)</f>
        <v>0.10876238455079766</v>
      </c>
    </row>
    <row r="23" spans="2:12" x14ac:dyDescent="0.25">
      <c r="B23" s="131" t="str">
        <f>"Common Size Balance Sheet"&amp;"-"&amp;'Data Sheet'!B1</f>
        <v>Common Size Balance Sheet-INFOSYS LTD</v>
      </c>
      <c r="C23" s="131"/>
      <c r="D23" s="131"/>
      <c r="E23" s="131"/>
      <c r="F23" s="131"/>
      <c r="G23" s="131"/>
      <c r="H23" s="131"/>
      <c r="I23" s="131"/>
      <c r="J23" s="131"/>
      <c r="K23" s="131"/>
      <c r="L23" s="131"/>
    </row>
    <row r="25" spans="2:12" x14ac:dyDescent="0.25">
      <c r="B25" s="10" t="s">
        <v>118</v>
      </c>
      <c r="C25" s="37">
        <f>'Data Sheet'!B16</f>
        <v>42825</v>
      </c>
      <c r="D25" s="37">
        <f>'Data Sheet'!C16</f>
        <v>43190</v>
      </c>
      <c r="E25" s="37">
        <f>'Data Sheet'!D16</f>
        <v>43555</v>
      </c>
      <c r="F25" s="37">
        <f>'Data Sheet'!E16</f>
        <v>43921</v>
      </c>
      <c r="G25" s="37">
        <f>'Data Sheet'!F16</f>
        <v>44286</v>
      </c>
      <c r="H25" s="37">
        <f>'Data Sheet'!G16</f>
        <v>44651</v>
      </c>
      <c r="I25" s="37">
        <f>'Data Sheet'!H16</f>
        <v>45016</v>
      </c>
      <c r="J25" s="37">
        <f>'Data Sheet'!I16</f>
        <v>45382</v>
      </c>
      <c r="K25" s="37">
        <f>'Data Sheet'!J16</f>
        <v>45747</v>
      </c>
      <c r="L25" s="37">
        <f>'Data Sheet'!K16</f>
        <v>46112</v>
      </c>
    </row>
    <row r="27" spans="2:12" x14ac:dyDescent="0.25">
      <c r="B27" s="64" t="s">
        <v>10</v>
      </c>
      <c r="C27" s="99">
        <f>'Historical FS'!C39/'Historical FS'!C$43</f>
        <v>1.3758599124452783E-2</v>
      </c>
      <c r="D27" s="99">
        <f>'Historical FS'!D39/'Historical FS'!D$43</f>
        <v>1.3711577965695851E-2</v>
      </c>
      <c r="E27" s="99">
        <f>'Historical FS'!E39/'Historical FS'!E$43</f>
        <v>2.5813051649894132E-2</v>
      </c>
      <c r="F27" s="99">
        <f>'Historical FS'!F39/'Historical FS'!F$43</f>
        <v>2.3115468409586056E-2</v>
      </c>
      <c r="G27" s="99">
        <f>'Historical FS'!G39/'Historical FS'!G$43</f>
        <v>1.9756117978625445E-2</v>
      </c>
      <c r="H27" s="99">
        <f>'Historical FS'!H39/'Historical FS'!H$43</f>
        <v>1.7973254289850853E-2</v>
      </c>
      <c r="I27" s="99">
        <f>'Historical FS'!I39/'Historical FS'!I$43</f>
        <v>1.6605669523901249E-2</v>
      </c>
      <c r="J27" s="99">
        <f>'Historical FS'!J39/'Historical FS'!J$43</f>
        <v>1.5225702102631966E-2</v>
      </c>
      <c r="K27" s="99">
        <f>'Historical FS'!K39/'Historical FS'!K$43</f>
        <v>1.4026184918298995E-2</v>
      </c>
      <c r="L27" s="99">
        <f>'Historical FS'!L39/'Historical FS'!L$43</f>
        <v>1.3118324172975215E-2</v>
      </c>
    </row>
    <row r="28" spans="2:12" x14ac:dyDescent="0.25">
      <c r="B28" s="64" t="s">
        <v>11</v>
      </c>
      <c r="C28" s="99">
        <f>'Historical FS'!C40/'Historical FS'!C$43</f>
        <v>0.81587049598306638</v>
      </c>
      <c r="D28" s="99">
        <f>'Historical FS'!D40/'Historical FS'!D$43</f>
        <v>0.80448398845606117</v>
      </c>
      <c r="E28" s="99">
        <f>'Historical FS'!E40/'Historical FS'!E$43</f>
        <v>0.74677039468988649</v>
      </c>
      <c r="F28" s="99">
        <f>'Historical FS'!F40/'Historical FS'!F$43</f>
        <v>0.68984749455337691</v>
      </c>
      <c r="G28" s="99">
        <f>'Historical FS'!G40/'Historical FS'!G$43</f>
        <v>0.69041307401103147</v>
      </c>
      <c r="H28" s="99">
        <f>'Historical FS'!H40/'Historical FS'!H$43</f>
        <v>0.62753900059111278</v>
      </c>
      <c r="I28" s="99">
        <f>'Historical FS'!I40/'Historical FS'!I$43</f>
        <v>0.58860637580660691</v>
      </c>
      <c r="J28" s="99">
        <f>'Historical FS'!J40/'Historical FS'!J$43</f>
        <v>0.63259079547125419</v>
      </c>
      <c r="K28" s="99">
        <f>'Historical FS'!K40/'Historical FS'!K$43</f>
        <v>0.63429074055279266</v>
      </c>
      <c r="L28" s="99">
        <f>'Historical FS'!L40/'Historical FS'!L$43</f>
        <v>0.58869127864772375</v>
      </c>
    </row>
    <row r="29" spans="2:12" x14ac:dyDescent="0.25">
      <c r="B29" s="64" t="s">
        <v>35</v>
      </c>
      <c r="C29" s="99">
        <f>'Historical FS'!C41/'Historical FS'!C$43</f>
        <v>0</v>
      </c>
      <c r="D29" s="99">
        <f>'Historical FS'!D41/'Historical FS'!D$43</f>
        <v>0</v>
      </c>
      <c r="E29" s="99">
        <f>'Historical FS'!E41/'Historical FS'!E$43</f>
        <v>0</v>
      </c>
      <c r="F29" s="99">
        <f>'Historical FS'!F41/'Historical FS'!F$43</f>
        <v>5.0468409586056646E-2</v>
      </c>
      <c r="G29" s="99">
        <f>'Historical FS'!G41/'Historical FS'!G$43</f>
        <v>4.9529815553757288E-2</v>
      </c>
      <c r="H29" s="99">
        <f>'Historical FS'!H41/'Historical FS'!H$43</f>
        <v>4.6894944700974051E-2</v>
      </c>
      <c r="I29" s="99">
        <f>'Historical FS'!I41/'Historical FS'!I$43</f>
        <v>6.6607274711868766E-2</v>
      </c>
      <c r="J29" s="99">
        <f>'Historical FS'!J41/'Historical FS'!J$43</f>
        <v>6.1454197912071754E-2</v>
      </c>
      <c r="K29" s="99">
        <f>'Historical FS'!K41/'Historical FS'!K$43</f>
        <v>5.566494130383301E-2</v>
      </c>
      <c r="L29" s="99">
        <f>'Historical FS'!L41/'Historical FS'!L$43</f>
        <v>5.9473192989733484E-2</v>
      </c>
    </row>
    <row r="30" spans="2:12" x14ac:dyDescent="0.25">
      <c r="B30" s="64" t="s">
        <v>36</v>
      </c>
      <c r="C30" s="99">
        <f>'Historical FS'!C42/'Historical FS'!C$43</f>
        <v>0.17037090489248088</v>
      </c>
      <c r="D30" s="99">
        <f>'Historical FS'!D42/'Historical FS'!D$43</f>
        <v>0.18180443357824294</v>
      </c>
      <c r="E30" s="99">
        <f>'Historical FS'!E42/'Historical FS'!E$43</f>
        <v>0.22741655366021934</v>
      </c>
      <c r="F30" s="99">
        <f>'Historical FS'!F42/'Historical FS'!F$43</f>
        <v>0.2365686274509804</v>
      </c>
      <c r="G30" s="99">
        <f>'Historical FS'!G42/'Historical FS'!G$43</f>
        <v>0.24030099245658584</v>
      </c>
      <c r="H30" s="99">
        <f>'Historical FS'!H42/'Historical FS'!H$43</f>
        <v>0.30759280041806236</v>
      </c>
      <c r="I30" s="99">
        <f>'Historical FS'!I42/'Historical FS'!I$43</f>
        <v>0.32818067995762301</v>
      </c>
      <c r="J30" s="99">
        <f>'Historical FS'!J42/'Historical FS'!J$43</f>
        <v>0.29072930451404205</v>
      </c>
      <c r="K30" s="99">
        <f>'Historical FS'!K42/'Historical FS'!K$43</f>
        <v>0.29601813322507525</v>
      </c>
      <c r="L30" s="99">
        <f>'Historical FS'!L42/'Historical FS'!L$43</f>
        <v>0.33871720418956758</v>
      </c>
    </row>
    <row r="31" spans="2:12" x14ac:dyDescent="0.25">
      <c r="B31" s="52" t="s">
        <v>80</v>
      </c>
      <c r="C31" s="50">
        <f>'Historical FS'!C43/'Historical FS'!C$43</f>
        <v>1</v>
      </c>
      <c r="D31" s="50">
        <f>'Historical FS'!D43/'Historical FS'!D$43</f>
        <v>1</v>
      </c>
      <c r="E31" s="50">
        <f>'Historical FS'!E43/'Historical FS'!E$43</f>
        <v>1</v>
      </c>
      <c r="F31" s="50">
        <f>'Historical FS'!F43/'Historical FS'!F$43</f>
        <v>1</v>
      </c>
      <c r="G31" s="50">
        <f>'Historical FS'!G43/'Historical FS'!G$43</f>
        <v>1</v>
      </c>
      <c r="H31" s="50">
        <f>'Historical FS'!H43/'Historical FS'!H$43</f>
        <v>1</v>
      </c>
      <c r="I31" s="50">
        <f>'Historical FS'!I43/'Historical FS'!I$43</f>
        <v>1</v>
      </c>
      <c r="J31" s="50">
        <f>'Historical FS'!J43/'Historical FS'!J$43</f>
        <v>1</v>
      </c>
      <c r="K31" s="50">
        <f>'Historical FS'!K43/'Historical FS'!K$43</f>
        <v>1</v>
      </c>
      <c r="L31" s="50">
        <f>'Historical FS'!L43/'Historical FS'!L$43</f>
        <v>1</v>
      </c>
    </row>
    <row r="32" spans="2:12" x14ac:dyDescent="0.25"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</row>
    <row r="33" spans="2:12" x14ac:dyDescent="0.25">
      <c r="B33" s="64" t="s">
        <v>81</v>
      </c>
      <c r="C33" s="99">
        <f>'Historical FS'!C45/'Historical FS'!C$56</f>
        <v>0.1705272526098042</v>
      </c>
      <c r="D33" s="99">
        <f>'Historical FS'!D45/'Historical FS'!D$56</f>
        <v>0.15846450490869451</v>
      </c>
      <c r="E33" s="99">
        <f>'Historical FS'!E45/'Historical FS'!E$56</f>
        <v>0.18687697761282801</v>
      </c>
      <c r="F33" s="99">
        <f>'Historical FS'!F45/'Historical FS'!F$56</f>
        <v>0.25913943355119828</v>
      </c>
      <c r="G33" s="99">
        <f>'Historical FS'!G45/'Historical FS'!G$56</f>
        <v>0.23723153909832481</v>
      </c>
      <c r="H33" s="99">
        <f>'Historical FS'!H45/'Historical FS'!H$56</f>
        <v>0.22102476676746996</v>
      </c>
      <c r="I33" s="99">
        <f>'Historical FS'!I45/'Historical FS'!I$56</f>
        <v>0.23455809175254422</v>
      </c>
      <c r="J33" s="99">
        <f>'Historical FS'!J45/'Historical FS'!J$56</f>
        <v>0.20307307748860462</v>
      </c>
      <c r="K33" s="99">
        <f>'Historical FS'!K45/'Historical FS'!K$56</f>
        <v>0.20948611252072127</v>
      </c>
      <c r="L33" s="99">
        <f>'Historical FS'!L45/'Historical FS'!L$56</f>
        <v>0.21887638701648865</v>
      </c>
    </row>
    <row r="34" spans="2:12" x14ac:dyDescent="0.25">
      <c r="B34" s="64" t="s">
        <v>14</v>
      </c>
      <c r="C34" s="99">
        <f>'Historical FS'!C46/'Historical FS'!C$56</f>
        <v>1.6416510318949345E-2</v>
      </c>
      <c r="D34" s="99">
        <f>'Historical FS'!D46/'Historical FS'!D$56</f>
        <v>2.0239700563334132E-2</v>
      </c>
      <c r="E34" s="99">
        <f>'Historical FS'!E46/'Historical FS'!E$56</f>
        <v>1.6510836723526753E-2</v>
      </c>
      <c r="F34" s="99">
        <f>'Historical FS'!F46/'Historical FS'!F$56</f>
        <v>1.0392156862745097E-2</v>
      </c>
      <c r="G34" s="99">
        <f>'Historical FS'!G46/'Historical FS'!G$56</f>
        <v>8.575866655505018E-3</v>
      </c>
      <c r="H34" s="99">
        <f>'Historical FS'!H46/'Historical FS'!H$56</f>
        <v>3.5638101928398254E-3</v>
      </c>
      <c r="I34" s="99">
        <f>'Historical FS'!I46/'Historical FS'!I$56</f>
        <v>2.3114706732158337E-3</v>
      </c>
      <c r="J34" s="99">
        <f>'Historical FS'!J46/'Historical FS'!J$56</f>
        <v>2.1540949860314662E-3</v>
      </c>
      <c r="K34" s="99">
        <f>'Historical FS'!K46/'Historical FS'!K$56</f>
        <v>5.5076288101762573E-3</v>
      </c>
      <c r="L34" s="99">
        <f>'Historical FS'!L46/'Historical FS'!L$56</f>
        <v>3.4092087524629265E-3</v>
      </c>
    </row>
    <row r="35" spans="2:12" x14ac:dyDescent="0.25">
      <c r="B35" s="64" t="s">
        <v>15</v>
      </c>
      <c r="C35" s="99">
        <f>'Historical FS'!C47/'Historical FS'!C$56</f>
        <v>0.19751527396930774</v>
      </c>
      <c r="D35" s="99">
        <f>'Historical FS'!D47/'Historical FS'!D$56</f>
        <v>0.15328485551172669</v>
      </c>
      <c r="E35" s="99">
        <f>'Historical FS'!E47/'Historical FS'!E$56</f>
        <v>0.13395427402279161</v>
      </c>
      <c r="F35" s="99">
        <f>'Historical FS'!F47/'Historical FS'!F$56</f>
        <v>9.5773420479302832E-2</v>
      </c>
      <c r="G35" s="99">
        <f>'Historical FS'!G47/'Historical FS'!G$56</f>
        <v>0.13212601501241733</v>
      </c>
      <c r="H35" s="99">
        <f>'Historical FS'!H47/'Historical FS'!H$56</f>
        <v>0.17411268836364571</v>
      </c>
      <c r="I35" s="99">
        <f>'Historical FS'!I47/'Historical FS'!I$56</f>
        <v>0.15632925615589585</v>
      </c>
      <c r="J35" s="99">
        <f>'Historical FS'!J47/'Historical FS'!J$56</f>
        <v>0.18102484928686957</v>
      </c>
      <c r="K35" s="99">
        <f>'Historical FS'!K47/'Historical FS'!K$56</f>
        <v>0.15928143712574849</v>
      </c>
      <c r="L35" s="99">
        <f>'Historical FS'!L47/'Historical FS'!L$56</f>
        <v>0.1418127138857202</v>
      </c>
    </row>
    <row r="36" spans="2:12" x14ac:dyDescent="0.25">
      <c r="B36" s="64" t="s">
        <v>37</v>
      </c>
      <c r="C36" s="99">
        <f>'Historical FS'!C48/'Historical FS'!C$56</f>
        <v>0.1952422186943763</v>
      </c>
      <c r="D36" s="99">
        <f>'Historical FS'!D48/'Historical FS'!D$56</f>
        <v>0.25263078299663511</v>
      </c>
      <c r="E36" s="99">
        <f>'Historical FS'!E48/'Historical FS'!E$56</f>
        <v>0.25351509528227822</v>
      </c>
      <c r="F36" s="99">
        <f>'Historical FS'!F48/'Historical FS'!F$56</f>
        <v>0.23016339869281047</v>
      </c>
      <c r="G36" s="99">
        <f>'Historical FS'!G48/'Historical FS'!G$56</f>
        <v>0.21273172047511418</v>
      </c>
      <c r="H36" s="99">
        <f>'Historical FS'!H48/'Historical FS'!H$56</f>
        <v>0.25716831292994885</v>
      </c>
      <c r="I36" s="99">
        <f>'Historical FS'!I48/'Historical FS'!I$56</f>
        <v>0.30504992134578957</v>
      </c>
      <c r="J36" s="99">
        <f>'Historical FS'!J48/'Historical FS'!J$56</f>
        <v>0.28306866637259226</v>
      </c>
      <c r="K36" s="99">
        <f>'Historical FS'!K48/'Historical FS'!K$56</f>
        <v>0.24944010284515714</v>
      </c>
      <c r="L36" s="99">
        <f>'Historical FS'!L48/'Historical FS'!L$56</f>
        <v>0.26364331639531269</v>
      </c>
    </row>
    <row r="37" spans="2:12" x14ac:dyDescent="0.25">
      <c r="B37" s="52" t="s">
        <v>252</v>
      </c>
      <c r="C37" s="50">
        <f>'Historical FS'!C49/'Historical FS'!C$56</f>
        <v>0.57970125559243757</v>
      </c>
      <c r="D37" s="50">
        <f>'Historical FS'!D49/'Historical FS'!D$56</f>
        <v>0.58461984398039046</v>
      </c>
      <c r="E37" s="50">
        <f>'Historical FS'!E49/'Historical FS'!E$56</f>
        <v>0.59085718364142459</v>
      </c>
      <c r="F37" s="50">
        <f>'Historical FS'!F49/'Historical FS'!F$56</f>
        <v>0.59546840958605662</v>
      </c>
      <c r="G37" s="50">
        <f>'Historical FS'!G49/'Historical FS'!G$56</f>
        <v>0.59066514124136138</v>
      </c>
      <c r="H37" s="50">
        <f>'Historical FS'!H49/'Historical FS'!H$56</f>
        <v>0.65586957825390435</v>
      </c>
      <c r="I37" s="50">
        <f>'Historical FS'!I49/'Historical FS'!I$56</f>
        <v>0.69824873992744552</v>
      </c>
      <c r="J37" s="50">
        <f>'Historical FS'!J49/'Historical FS'!J$56</f>
        <v>0.66932068813409795</v>
      </c>
      <c r="K37" s="50">
        <f>'Historical FS'!K49/'Historical FS'!K$56</f>
        <v>0.6237152813018032</v>
      </c>
      <c r="L37" s="50">
        <f>'Historical FS'!L49/'Historical FS'!L$56</f>
        <v>0.6277416260499844</v>
      </c>
    </row>
    <row r="38" spans="2:12" x14ac:dyDescent="0.25">
      <c r="B38" s="64"/>
      <c r="C38" s="99"/>
      <c r="D38" s="99"/>
      <c r="E38" s="99"/>
      <c r="F38" s="99"/>
      <c r="G38" s="99"/>
      <c r="H38" s="99"/>
      <c r="I38" s="99"/>
      <c r="J38" s="99"/>
      <c r="K38" s="99"/>
      <c r="L38" s="99"/>
    </row>
    <row r="39" spans="2:12" x14ac:dyDescent="0.25">
      <c r="B39" s="64" t="s">
        <v>42</v>
      </c>
      <c r="C39" s="99">
        <f>'Historical FS'!C51/'Historical FS'!C$56</f>
        <v>0.14819358252754125</v>
      </c>
      <c r="D39" s="99">
        <f>'Historical FS'!D51/'Historical FS'!D$56</f>
        <v>0.16562275517019748</v>
      </c>
      <c r="E39" s="99">
        <f>'Historical FS'!E51/'Historical FS'!E$56</f>
        <v>0.1763733257202674</v>
      </c>
      <c r="F39" s="99">
        <f>'Historical FS'!F51/'Historical FS'!F$56</f>
        <v>0.20138344226579522</v>
      </c>
      <c r="G39" s="99">
        <f>'Historical FS'!G51/'Historical FS'!G$56</f>
        <v>0.17946070634632735</v>
      </c>
      <c r="H39" s="99">
        <f>'Historical FS'!H51/'Historical FS'!H$56</f>
        <v>0.19445039364682298</v>
      </c>
      <c r="I39" s="99">
        <f>'Historical FS'!I51/'Historical FS'!I$56</f>
        <v>0.20405149442999776</v>
      </c>
      <c r="J39" s="99">
        <f>'Historical FS'!J51/'Historical FS'!J$56</f>
        <v>0.22197470960152918</v>
      </c>
      <c r="K39" s="99">
        <f>'Historical FS'!K51/'Historical FS'!K$56</f>
        <v>0.21081903988632902</v>
      </c>
      <c r="L39" s="99">
        <f>'Historical FS'!L51/'Historical FS'!L$56</f>
        <v>0.22836513533132843</v>
      </c>
    </row>
    <row r="40" spans="2:12" x14ac:dyDescent="0.25">
      <c r="B40" s="64" t="s">
        <v>29</v>
      </c>
      <c r="C40" s="99">
        <f>'Historical FS'!C52/'Historical FS'!C$56</f>
        <v>0</v>
      </c>
      <c r="D40" s="99">
        <f>'Historical FS'!D52/'Historical FS'!D$56</f>
        <v>0</v>
      </c>
      <c r="E40" s="99">
        <f>'Historical FS'!E52/'Historical FS'!E$56</f>
        <v>0</v>
      </c>
      <c r="F40" s="99">
        <f>'Historical FS'!F52/'Historical FS'!F$56</f>
        <v>0</v>
      </c>
      <c r="G40" s="99">
        <f>'Historical FS'!G52/'Historical FS'!G$56</f>
        <v>0</v>
      </c>
      <c r="H40" s="99">
        <f>'Historical FS'!H52/'Historical FS'!H$56</f>
        <v>0</v>
      </c>
      <c r="I40" s="99">
        <f>'Historical FS'!I52/'Historical FS'!I$56</f>
        <v>0</v>
      </c>
      <c r="J40" s="99">
        <f>'Historical FS'!J52/'Historical FS'!J$56</f>
        <v>0</v>
      </c>
      <c r="K40" s="99">
        <f>'Historical FS'!K52/'Historical FS'!K$56</f>
        <v>0</v>
      </c>
      <c r="L40" s="99">
        <f>'Historical FS'!L52/'Historical FS'!L$56</f>
        <v>0</v>
      </c>
    </row>
    <row r="41" spans="2:12" x14ac:dyDescent="0.25">
      <c r="B41" s="64" t="s">
        <v>51</v>
      </c>
      <c r="C41" s="99">
        <f>'Historical FS'!C53/'Historical FS'!C$56</f>
        <v>0.27210516188002115</v>
      </c>
      <c r="D41" s="99">
        <f>'Historical FS'!D53/'Historical FS'!D$56</f>
        <v>0.24975740084941209</v>
      </c>
      <c r="E41" s="99">
        <f>'Historical FS'!E53/'Historical FS'!E$56</f>
        <v>0.23276949063830799</v>
      </c>
      <c r="F41" s="99">
        <f>'Historical FS'!F53/'Historical FS'!F$56</f>
        <v>0.20314814814814816</v>
      </c>
      <c r="G41" s="99">
        <f>'Historical FS'!G53/'Historical FS'!G$56</f>
        <v>0.22987415241231129</v>
      </c>
      <c r="H41" s="99">
        <f>'Historical FS'!H53/'Historical FS'!H$56</f>
        <v>0.14968002809927267</v>
      </c>
      <c r="I41" s="99">
        <f>'Historical FS'!I53/'Historical FS'!I$56</f>
        <v>9.7699765642556738E-2</v>
      </c>
      <c r="J41" s="99">
        <f>'Historical FS'!J53/'Historical FS'!J$56</f>
        <v>0.10870460226437288</v>
      </c>
      <c r="K41" s="99">
        <f>'Historical FS'!K53/'Historical FS'!K$56</f>
        <v>0.1654656788118678</v>
      </c>
      <c r="L41" s="99">
        <f>'Historical FS'!L53/'Historical FS'!L$56</f>
        <v>0.14389323861868714</v>
      </c>
    </row>
    <row r="42" spans="2:12" x14ac:dyDescent="0.25">
      <c r="B42" s="52" t="s">
        <v>165</v>
      </c>
      <c r="C42" s="50">
        <f>'Historical FS'!C54/'Historical FS'!C$56</f>
        <v>0.42029874440756243</v>
      </c>
      <c r="D42" s="50">
        <f>'Historical FS'!D54/'Historical FS'!D$56</f>
        <v>0.41538015601960959</v>
      </c>
      <c r="E42" s="50">
        <f>'Historical FS'!E54/'Historical FS'!E$56</f>
        <v>0.40914281635857541</v>
      </c>
      <c r="F42" s="50">
        <f>'Historical FS'!F54/'Historical FS'!F$56</f>
        <v>0.40453159041394338</v>
      </c>
      <c r="G42" s="50">
        <f>'Historical FS'!G54/'Historical FS'!G$56</f>
        <v>0.40933485875863868</v>
      </c>
      <c r="H42" s="50">
        <f>'Historical FS'!H54/'Historical FS'!H$56</f>
        <v>0.34413042174609565</v>
      </c>
      <c r="I42" s="50">
        <f>'Historical FS'!I54/'Historical FS'!I$56</f>
        <v>0.30175126007255448</v>
      </c>
      <c r="J42" s="50">
        <f>'Historical FS'!J54/'Historical FS'!J$56</f>
        <v>0.33067931186590205</v>
      </c>
      <c r="K42" s="50">
        <f>'Historical FS'!K54/'Historical FS'!K$56</f>
        <v>0.37628471869819685</v>
      </c>
      <c r="L42" s="50">
        <f>'Historical FS'!L54/'Historical FS'!L$56</f>
        <v>0.37225837395001554</v>
      </c>
    </row>
    <row r="43" spans="2:12" x14ac:dyDescent="0.25">
      <c r="B43" s="64"/>
      <c r="C43" s="99"/>
      <c r="D43" s="99"/>
      <c r="E43" s="99"/>
      <c r="F43" s="99"/>
      <c r="G43" s="99"/>
      <c r="H43" s="99"/>
      <c r="I43" s="99"/>
      <c r="J43" s="99"/>
      <c r="K43" s="99"/>
      <c r="L43" s="99"/>
    </row>
    <row r="44" spans="2:12" x14ac:dyDescent="0.25">
      <c r="B44" s="52" t="s">
        <v>163</v>
      </c>
      <c r="C44" s="50">
        <f>'Historical FS'!C56/'Historical FS'!C$56</f>
        <v>1</v>
      </c>
      <c r="D44" s="50">
        <f>'Historical FS'!D56/'Historical FS'!D$56</f>
        <v>1</v>
      </c>
      <c r="E44" s="50">
        <f>'Historical FS'!E56/'Historical FS'!E$56</f>
        <v>1</v>
      </c>
      <c r="F44" s="50">
        <f>'Historical FS'!F56/'Historical FS'!F$56</f>
        <v>1</v>
      </c>
      <c r="G44" s="50">
        <f>'Historical FS'!G56/'Historical FS'!G$56</f>
        <v>1</v>
      </c>
      <c r="H44" s="50">
        <f>'Historical FS'!H56/'Historical FS'!H$56</f>
        <v>1</v>
      </c>
      <c r="I44" s="50">
        <f>'Historical FS'!I56/'Historical FS'!I$56</f>
        <v>1</v>
      </c>
      <c r="J44" s="50">
        <f>'Historical FS'!J56/'Historical FS'!J$56</f>
        <v>1</v>
      </c>
      <c r="K44" s="50">
        <f>'Historical FS'!K56/'Historical FS'!K$56</f>
        <v>1</v>
      </c>
      <c r="L44" s="50">
        <f>'Historical FS'!L56/'Historical FS'!L$56</f>
        <v>1</v>
      </c>
    </row>
  </sheetData>
  <sheetProtection sheet="1" objects="1" scenarios="1"/>
  <mergeCells count="2">
    <mergeCell ref="B2:L2"/>
    <mergeCell ref="B23:L23"/>
  </mergeCells>
  <pageMargins left="0.25" right="0.25" top="0.75" bottom="0.75" header="0.3" footer="0.3"/>
  <pageSetup scale="8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30B9-A7D0-4D86-A5C0-C0A32FA01E88}">
  <sheetPr>
    <pageSetUpPr fitToPage="1"/>
  </sheetPr>
  <dimension ref="B2:O40"/>
  <sheetViews>
    <sheetView showGridLines="0" topLeftCell="B7" zoomScale="82" zoomScaleNormal="82" workbookViewId="0">
      <selection activeCell="H28" sqref="H28"/>
    </sheetView>
  </sheetViews>
  <sheetFormatPr defaultRowHeight="15" x14ac:dyDescent="0.25"/>
  <cols>
    <col min="1" max="1" width="2" customWidth="1"/>
    <col min="2" max="2" width="28.28515625" customWidth="1"/>
    <col min="3" max="3" width="11.140625" bestFit="1" customWidth="1"/>
    <col min="4" max="4" width="10.28515625" bestFit="1" customWidth="1"/>
    <col min="5" max="5" width="9.85546875" bestFit="1" customWidth="1"/>
    <col min="7" max="9" width="10.140625" bestFit="1" customWidth="1"/>
    <col min="10" max="10" width="9.85546875" bestFit="1" customWidth="1"/>
    <col min="11" max="11" width="11.28515625" bestFit="1" customWidth="1"/>
    <col min="12" max="12" width="9.85546875" bestFit="1" customWidth="1"/>
    <col min="13" max="13" width="24.85546875" customWidth="1"/>
    <col min="14" max="15" width="10.85546875" bestFit="1" customWidth="1"/>
  </cols>
  <sheetData>
    <row r="2" spans="2:15" x14ac:dyDescent="0.25">
      <c r="B2" s="129" t="str">
        <f>"Ratio Analysis -"&amp;'Data Sheet'!B1</f>
        <v>Ratio Analysis -INFOSYS LTD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</row>
    <row r="3" spans="2:15" x14ac:dyDescent="0.25">
      <c r="B3" s="8" t="s">
        <v>54</v>
      </c>
      <c r="C3" s="9">
        <f>'Data Sheet'!B16</f>
        <v>42825</v>
      </c>
      <c r="D3" s="9">
        <f>'Data Sheet'!C16</f>
        <v>43190</v>
      </c>
      <c r="E3" s="9">
        <f>'Data Sheet'!D16</f>
        <v>43555</v>
      </c>
      <c r="F3" s="9">
        <f>'Data Sheet'!E16</f>
        <v>43921</v>
      </c>
      <c r="G3" s="9">
        <f>'Data Sheet'!F16</f>
        <v>44286</v>
      </c>
      <c r="H3" s="9">
        <f>'Data Sheet'!G16</f>
        <v>44651</v>
      </c>
      <c r="I3" s="9">
        <f>'Data Sheet'!H16</f>
        <v>45016</v>
      </c>
      <c r="J3" s="9">
        <f>'Data Sheet'!I16</f>
        <v>45382</v>
      </c>
      <c r="K3" s="9">
        <f>'Data Sheet'!J16</f>
        <v>45747</v>
      </c>
      <c r="L3" s="9">
        <f>'Data Sheet'!K16</f>
        <v>46112</v>
      </c>
      <c r="M3" s="32" t="s">
        <v>117</v>
      </c>
      <c r="N3" s="32" t="s">
        <v>115</v>
      </c>
      <c r="O3" s="32" t="s">
        <v>116</v>
      </c>
    </row>
    <row r="5" spans="2:15" x14ac:dyDescent="0.25">
      <c r="B5" s="21" t="s">
        <v>85</v>
      </c>
      <c r="C5" s="21"/>
      <c r="D5" s="22">
        <f>IFERROR('Historical FS'!D6/'Historical FS'!C6-1,0)</f>
        <v>2.9758775772443125E-2</v>
      </c>
      <c r="E5" s="22">
        <f>IFERROR('Historical FS'!E6/'Historical FS'!D6-1,0)</f>
        <v>0.17232920223476356</v>
      </c>
      <c r="F5" s="22">
        <f>IFERROR('Historical FS'!F6/'Historical FS'!E6-1,0)</f>
        <v>9.8167523435137571E-2</v>
      </c>
      <c r="G5" s="22">
        <f>IFERROR('Historical FS'!G6/'Historical FS'!F6-1,0)</f>
        <v>0.10662951173574475</v>
      </c>
      <c r="H5" s="22">
        <f>IFERROR('Historical FS'!H6/'Historical FS'!G6-1,0)</f>
        <v>0.21069551715900947</v>
      </c>
      <c r="I5" s="22">
        <f>IFERROR('Historical FS'!I6/'Historical FS'!H6-1,0)</f>
        <v>0.20655864387829759</v>
      </c>
      <c r="J5" s="22">
        <f>IFERROR('Historical FS'!J6/'Historical FS'!I6-1,0)</f>
        <v>4.7033733741236095E-2</v>
      </c>
      <c r="K5" s="22">
        <f>IFERROR('Historical FS'!K6/'Historical FS'!J6-1,0)</f>
        <v>6.0649443612936782E-2</v>
      </c>
      <c r="L5" s="22">
        <f>IFERROR('Historical FS'!L6/'Historical FS'!K6-1,0)</f>
        <v>9.6079514080618544E-2</v>
      </c>
      <c r="M5" s="21"/>
      <c r="N5" s="22">
        <f>IFERROR(AVERAGE(D5:L5),0)</f>
        <v>0.11421131840557638</v>
      </c>
      <c r="O5" s="22">
        <f>IFERROR(MEDIAN(D5:L5),0)</f>
        <v>9.8167523435137571E-2</v>
      </c>
    </row>
    <row r="6" spans="2:15" x14ac:dyDescent="0.25">
      <c r="B6" t="s">
        <v>86</v>
      </c>
      <c r="D6" s="23">
        <f>IFERROR('Historical FS'!D14/'Historical FS'!C14-1,0)</f>
        <v>1.1717910126854525E-2</v>
      </c>
      <c r="E6" s="23">
        <f>IFERROR('Historical FS'!E14/'Historical FS'!D14-1,0)</f>
        <v>7.1618318988417862E-2</v>
      </c>
      <c r="F6" s="23">
        <f>IFERROR('Historical FS'!F14/'Historical FS'!E14-1,0)</f>
        <v>0.10396628656420437</v>
      </c>
      <c r="G6" s="23">
        <f>IFERROR('Historical FS'!G14/'Historical FS'!F14-1,0)</f>
        <v>0.25248125028068436</v>
      </c>
      <c r="H6" s="23">
        <f>IFERROR('Historical FS'!H14/'Historical FS'!G14-1,0)</f>
        <v>0.12915486392484499</v>
      </c>
      <c r="I6" s="23">
        <f>IFERROR('Historical FS'!I14/'Historical FS'!H14-1,0)</f>
        <v>0.1155568257597408</v>
      </c>
      <c r="J6" s="23">
        <f>IFERROR('Historical FS'!J14/'Historical FS'!I14-1,0)</f>
        <v>3.6863079988613823E-2</v>
      </c>
      <c r="K6" s="23">
        <f>IFERROR('Historical FS'!K14/'Historical FS'!J14-1,0)</f>
        <v>7.7172271791352109E-2</v>
      </c>
      <c r="L6" s="23">
        <f>IFERROR('Historical FS'!L14/'Historical FS'!K14-1,0)</f>
        <v>7.758181262106234E-2</v>
      </c>
      <c r="N6" s="23">
        <f t="shared" ref="N6:N40" si="0">IFERROR(AVERAGE(D6:L6),0)</f>
        <v>9.7345846671752792E-2</v>
      </c>
      <c r="O6" s="23">
        <f t="shared" ref="O6:O40" si="1">IFERROR(MEDIAN(D6:L6),0)</f>
        <v>7.758181262106234E-2</v>
      </c>
    </row>
    <row r="7" spans="2:15" x14ac:dyDescent="0.25">
      <c r="B7" t="s">
        <v>87</v>
      </c>
      <c r="D7" s="23">
        <f>IFERROR('Historical FS'!D22/'Historical FS'!C22-1,0)</f>
        <v>1.5989173475013718E-2</v>
      </c>
      <c r="E7" s="23">
        <f>IFERROR('Historical FS'!E22/'Historical FS'!D22-1,0)</f>
        <v>3.8036507153428767E-2</v>
      </c>
      <c r="F7" s="23">
        <f>IFERROR('Historical FS'!F22/'Historical FS'!E22-1,0)</f>
        <v>4.5910365476925952E-2</v>
      </c>
      <c r="G7" s="23">
        <f>IFERROR('Historical FS'!G22/'Historical FS'!F22-1,0)</f>
        <v>0.20997864315899495</v>
      </c>
      <c r="H7" s="23">
        <f>IFERROR('Historical FS'!H22/'Historical FS'!G22-1,0)</f>
        <v>0.13076460868258977</v>
      </c>
      <c r="I7" s="23">
        <f>IFERROR('Historical FS'!I22/'Historical FS'!H22-1,0)</f>
        <v>0.10667552308203265</v>
      </c>
      <c r="J7" s="23">
        <f>IFERROR('Historical FS'!J22/'Historical FS'!I22-1,0)</f>
        <v>8.0007202448832526E-2</v>
      </c>
      <c r="K7" s="23">
        <f>IFERROR('Historical FS'!K22/'Historical FS'!J22-1,0)</f>
        <v>4.501500500166733E-2</v>
      </c>
      <c r="L7" s="23">
        <f>IFERROR('Historical FS'!L22/'Historical FS'!K22-1,0)</f>
        <v>6.3470538183365344E-2</v>
      </c>
      <c r="N7" s="23">
        <f t="shared" si="0"/>
        <v>8.1760840740316781E-2</v>
      </c>
      <c r="O7" s="23">
        <f t="shared" si="1"/>
        <v>6.3470538183365344E-2</v>
      </c>
    </row>
    <row r="8" spans="2:15" x14ac:dyDescent="0.25">
      <c r="B8" t="s">
        <v>88</v>
      </c>
      <c r="D8" s="23">
        <f>IFERROR('Historical FS'!D26/'Historical FS'!C26-1,0)</f>
        <v>0.11677001323765057</v>
      </c>
      <c r="E8" s="23">
        <f>IFERROR('Historical FS'!E26/'Historical FS'!D26-1,0)</f>
        <v>-3.8617505770790483E-2</v>
      </c>
      <c r="F8" s="23">
        <f>IFERROR('Historical FS'!F26/'Historical FS'!E26-1,0)</f>
        <v>7.975340687865029E-2</v>
      </c>
      <c r="G8" s="23">
        <f>IFERROR('Historical FS'!G26/'Historical FS'!F26-1,0)</f>
        <v>0.16731774746078498</v>
      </c>
      <c r="H8" s="23">
        <f>IFERROR('Historical FS'!H26/'Historical FS'!G26-1,0)</f>
        <v>0.14019461463213712</v>
      </c>
      <c r="I8" s="23">
        <f>IFERROR('Historical FS'!I26/'Historical FS'!H26-1,0)</f>
        <v>8.8593876998103394E-2</v>
      </c>
      <c r="J8" s="23">
        <f>IFERROR('Historical FS'!J26/'Historical FS'!I26-1,0)</f>
        <v>8.8767214202754241E-2</v>
      </c>
      <c r="K8" s="23">
        <f>IFERROR('Historical FS'!K26/'Historical FS'!J26-1,0)</f>
        <v>1.9125266686985665E-2</v>
      </c>
      <c r="L8" s="23">
        <f>IFERROR('Historical FS'!L26/'Historical FS'!K26-1,0)</f>
        <v>0.1018317757009346</v>
      </c>
      <c r="N8" s="23">
        <f t="shared" si="0"/>
        <v>8.4859601114134486E-2</v>
      </c>
      <c r="O8" s="23">
        <f t="shared" si="1"/>
        <v>8.8767214202754241E-2</v>
      </c>
    </row>
    <row r="9" spans="2:15" x14ac:dyDescent="0.25">
      <c r="B9" s="24" t="s">
        <v>89</v>
      </c>
      <c r="C9" s="24"/>
      <c r="D9" s="25">
        <f>IFERROR('Historical FS'!D33/'Historical FS'!C33-1,0)</f>
        <v>0.68963896853592144</v>
      </c>
      <c r="E9" s="25">
        <f>IFERROR('Historical FS'!E33/'Historical FS'!D33-1,0)</f>
        <v>-2.5838579728767352E-2</v>
      </c>
      <c r="F9" s="25">
        <f>IFERROR('Historical FS'!F33/'Historical FS'!E33-1,0)</f>
        <v>-0.17390646350868544</v>
      </c>
      <c r="G9" s="25">
        <f>IFERROR('Historical FS'!G33/'Historical FS'!F33-1,0)</f>
        <v>0.54369512340846549</v>
      </c>
      <c r="H9" s="25">
        <f>IFERROR('Historical FS'!H33/'Historical FS'!G33-1,0)</f>
        <v>0.14865158399694378</v>
      </c>
      <c r="I9" s="25">
        <f>IFERROR('Historical FS'!I33/'Historical FS'!H33-1,0)</f>
        <v>9.6761529392781709E-2</v>
      </c>
      <c r="J9" s="25">
        <f>IFERROR('Historical FS'!J33/'Historical FS'!I33-1,0)</f>
        <v>0.35349861290755547</v>
      </c>
      <c r="K9" s="25">
        <f>IFERROR('Historical FS'!K33/'Historical FS'!J33-1,0)</f>
        <v>-6.4855345095345629E-2</v>
      </c>
      <c r="L9" s="25">
        <f>IFERROR('Historical FS'!L33/'Historical FS'!K33-1,0)</f>
        <v>0.11614900276192253</v>
      </c>
      <c r="M9" s="24"/>
      <c r="N9" s="25">
        <f t="shared" si="0"/>
        <v>0.18708827029675468</v>
      </c>
      <c r="O9" s="25">
        <f t="shared" si="1"/>
        <v>0.11614900276192253</v>
      </c>
    </row>
    <row r="10" spans="2:15" x14ac:dyDescent="0.25">
      <c r="C10" s="13"/>
      <c r="N10" s="13"/>
      <c r="O10" s="13"/>
    </row>
    <row r="11" spans="2:15" x14ac:dyDescent="0.25">
      <c r="B11" s="21" t="s">
        <v>90</v>
      </c>
      <c r="C11" s="22">
        <f>IFERROR('Historical FS'!C11,0)</f>
        <v>0.34862157584253256</v>
      </c>
      <c r="D11" s="22">
        <f>IFERROR('Historical FS'!D11,0)</f>
        <v>0.34212018944442868</v>
      </c>
      <c r="E11" s="22">
        <f>IFERROR('Historical FS'!E11,0)</f>
        <v>0.32934986392500754</v>
      </c>
      <c r="F11" s="22">
        <f>IFERROR('Historical FS'!F11,0)</f>
        <v>0.31479992510270843</v>
      </c>
      <c r="G11" s="22">
        <f>IFERROR('Historical FS'!G11,0)</f>
        <v>0.31831754120550998</v>
      </c>
      <c r="H11" s="22">
        <f>IFERROR('Historical FS'!H11,0)</f>
        <v>0.30271043480405457</v>
      </c>
      <c r="I11" s="22">
        <f>IFERROR('Historical FS'!I11,0)</f>
        <v>0.28539794367943749</v>
      </c>
      <c r="J11" s="22">
        <f>IFERROR('Historical FS'!J11,0)</f>
        <v>0.28398516301164833</v>
      </c>
      <c r="K11" s="22">
        <f>IFERROR('Historical FS'!K11,0)</f>
        <v>0.2847107184489846</v>
      </c>
      <c r="L11" s="22">
        <f>IFERROR('Historical FS'!L11,0)</f>
        <v>0.28207668625804644</v>
      </c>
      <c r="M11" s="33"/>
      <c r="N11" s="34">
        <f t="shared" si="0"/>
        <v>0.30482982954220295</v>
      </c>
      <c r="O11" s="34">
        <f t="shared" si="1"/>
        <v>0.30271043480405457</v>
      </c>
    </row>
    <row r="12" spans="2:15" x14ac:dyDescent="0.25">
      <c r="B12" t="s">
        <v>91</v>
      </c>
      <c r="C12" s="23">
        <f>IFERROR('Historical FS'!C15,0)</f>
        <v>0.27165469306699375</v>
      </c>
      <c r="D12" s="23">
        <f>IFERROR('Historical FS'!D15,0)</f>
        <v>0.26689543688494372</v>
      </c>
      <c r="E12" s="23">
        <f>IFERROR('Historical FS'!E15,0)</f>
        <v>0.24396734200181433</v>
      </c>
      <c r="F12" s="23">
        <f>IFERROR('Historical FS'!F15,0)</f>
        <v>0.24525558700752279</v>
      </c>
      <c r="G12" s="23">
        <f>IFERROR('Historical FS'!G15,0)</f>
        <v>0.27757982323433394</v>
      </c>
      <c r="H12" s="23">
        <f>IFERROR('Historical FS'!H15,0)</f>
        <v>0.25888475102966929</v>
      </c>
      <c r="I12" s="23">
        <f>IFERROR('Historical FS'!I15,0)</f>
        <v>0.23935898396778568</v>
      </c>
      <c r="J12" s="23">
        <f>IFERROR('Historical FS'!J15,0)</f>
        <v>0.23703390381987374</v>
      </c>
      <c r="K12" s="23">
        <f>IFERROR('Historical FS'!K15,0)</f>
        <v>0.24072642493404503</v>
      </c>
      <c r="L12" s="23">
        <f>IFERROR('Historical FS'!L15,0)</f>
        <v>0.23666386789812482</v>
      </c>
      <c r="N12" s="23">
        <f t="shared" si="0"/>
        <v>0.24959623564201261</v>
      </c>
      <c r="O12" s="23">
        <f t="shared" si="1"/>
        <v>0.24396734200181433</v>
      </c>
    </row>
    <row r="13" spans="2:15" x14ac:dyDescent="0.25">
      <c r="B13" t="s">
        <v>114</v>
      </c>
      <c r="C13" s="23">
        <f>IFERROR(('Historical FS'!C14-'Historical FS'!C18)/'Historical FS'!C6,)</f>
        <v>0.24678757081946148</v>
      </c>
      <c r="D13" s="23">
        <f>IFERROR(('Historical FS'!D14-'Historical FS'!D18)/'Historical FS'!D6,)</f>
        <v>0.24047814866282863</v>
      </c>
      <c r="E13" s="23">
        <f>IFERROR(('Historical FS'!E14-'Historical FS'!E18)/'Historical FS'!E6,)</f>
        <v>0.2196431811309344</v>
      </c>
      <c r="F13" s="23">
        <f>IFERROR(('Historical FS'!F14-'Historical FS'!F18)/'Historical FS'!F6,)</f>
        <v>0.21339119516251612</v>
      </c>
      <c r="G13" s="23">
        <f>IFERROR(('Historical FS'!G14-'Historical FS'!G18)/'Historical FS'!G6,)</f>
        <v>0.24506330121824987</v>
      </c>
      <c r="H13" s="23">
        <f>IFERROR(('Historical FS'!H14-'Historical FS'!H18)/'Historical FS'!H6,)</f>
        <v>0.23030885967724699</v>
      </c>
      <c r="I13" s="23">
        <f>IFERROR(('Historical FS'!I14-'Historical FS'!I18)/'Historical FS'!I6,)</f>
        <v>0.21057185879659596</v>
      </c>
      <c r="J13" s="23">
        <f>IFERROR(('Historical FS'!J14-'Historical FS'!J18)/'Historical FS'!J6,)</f>
        <v>0.20659204789483959</v>
      </c>
      <c r="K13" s="23">
        <f>IFERROR(('Historical FS'!K14-'Historical FS'!K18)/'Historical FS'!K6,)</f>
        <v>0.21120314129701209</v>
      </c>
      <c r="L13" s="23">
        <f>IFERROR(('Historical FS'!L14-'Historical FS'!L18)/'Historical FS'!L6,)</f>
        <v>0.20922474111390987</v>
      </c>
      <c r="N13" s="23">
        <f t="shared" si="0"/>
        <v>0.22071960832823703</v>
      </c>
      <c r="O13" s="23">
        <f t="shared" si="1"/>
        <v>0.21339119516251612</v>
      </c>
    </row>
    <row r="14" spans="2:15" x14ac:dyDescent="0.25">
      <c r="B14" t="s">
        <v>92</v>
      </c>
      <c r="C14" s="23">
        <f>IFERROR('Historical FS'!C23,0)</f>
        <v>0.29132352082238189</v>
      </c>
      <c r="D14" s="23">
        <f>IFERROR('Historical FS'!D23,0)</f>
        <v>0.28742803664104816</v>
      </c>
      <c r="E14" s="23">
        <f>IFERROR('Historical FS'!E23,0)</f>
        <v>0.25450257030541273</v>
      </c>
      <c r="F14" s="23">
        <f>IFERROR('Historical FS'!F23,0)</f>
        <v>0.24239186703527882</v>
      </c>
      <c r="G14" s="23">
        <f>IFERROR('Historical FS'!G23,0)</f>
        <v>0.26502906282347322</v>
      </c>
      <c r="H14" s="23">
        <f>IFERROR('Historical FS'!H23,0)</f>
        <v>0.24753167106485477</v>
      </c>
      <c r="I14" s="23">
        <f>IFERROR('Historical FS'!I23,0)</f>
        <v>0.22704013845074164</v>
      </c>
      <c r="J14" s="23">
        <f>IFERROR('Historical FS'!J23,0)</f>
        <v>0.2341901477191384</v>
      </c>
      <c r="K14" s="23">
        <f>IFERROR('Historical FS'!K23,0)</f>
        <v>0.23073808209092583</v>
      </c>
      <c r="L14" s="23">
        <f>IFERROR('Historical FS'!L23,0)</f>
        <v>0.22387349566190876</v>
      </c>
      <c r="N14" s="23">
        <f t="shared" si="0"/>
        <v>0.24585834131030915</v>
      </c>
      <c r="O14" s="23">
        <f t="shared" si="1"/>
        <v>0.24239186703527882</v>
      </c>
    </row>
    <row r="15" spans="2:15" x14ac:dyDescent="0.25">
      <c r="B15" s="24" t="s">
        <v>93</v>
      </c>
      <c r="C15" s="25">
        <f>IFERROR('Historical FS'!C27,0)</f>
        <v>0.20958180012849717</v>
      </c>
      <c r="D15" s="25">
        <f>IFERROR('Historical FS'!D27,0)</f>
        <v>0.22729077451008195</v>
      </c>
      <c r="E15" s="25">
        <f>IFERROR('Historical FS'!E27,0)</f>
        <v>0.18639250075597219</v>
      </c>
      <c r="F15" s="25">
        <f>IFERROR('Historical FS'!F27,0)</f>
        <v>0.18326706391602693</v>
      </c>
      <c r="G15" s="25">
        <f>IFERROR('Historical FS'!G27,0)</f>
        <v>0.19331754120550998</v>
      </c>
      <c r="H15" s="25">
        <f>IFERROR('Historical FS'!H27,0)</f>
        <v>0.1820603250548746</v>
      </c>
      <c r="I15" s="25">
        <f>IFERROR('Historical FS'!I27,0)</f>
        <v>0.16426035825492105</v>
      </c>
      <c r="J15" s="25">
        <f>IFERROR('Historical FS'!J27,0)</f>
        <v>0.17080757467300059</v>
      </c>
      <c r="K15" s="25">
        <f>IFERROR('Historical FS'!K27,0)</f>
        <v>0.16412049819007302</v>
      </c>
      <c r="L15" s="25">
        <f>IFERROR('Historical FS'!L27,0)</f>
        <v>0.16498180800447804</v>
      </c>
      <c r="M15" s="35"/>
      <c r="N15" s="36">
        <f t="shared" si="0"/>
        <v>0.18183316050721537</v>
      </c>
      <c r="O15" s="36">
        <f t="shared" si="1"/>
        <v>0.1820603250548746</v>
      </c>
    </row>
    <row r="16" spans="2:15" x14ac:dyDescent="0.25">
      <c r="C16" s="13"/>
      <c r="N16" s="13"/>
      <c r="O16" s="13"/>
    </row>
    <row r="17" spans="2:15" x14ac:dyDescent="0.25">
      <c r="B17" s="21" t="s">
        <v>94</v>
      </c>
      <c r="C17" s="22">
        <f>IFERROR('Historical FS'!C12/'Historical FS'!C6,0)</f>
        <v>7.6966882775538814E-2</v>
      </c>
      <c r="D17" s="22">
        <f>IFERROR('Historical FS'!D12/'Historical FS'!D6,0)</f>
        <v>7.5224752559484978E-2</v>
      </c>
      <c r="E17" s="22">
        <f>IFERROR('Historical FS'!E12/'Historical FS'!E6,0)</f>
        <v>8.5382521923193233E-2</v>
      </c>
      <c r="F17" s="22">
        <f>IFERROR('Historical FS'!F12/'Historical FS'!F6,0)</f>
        <v>6.9544338095185648E-2</v>
      </c>
      <c r="G17" s="22">
        <f>IFERROR('Historical FS'!G12/'Historical FS'!G6,0)</f>
        <v>4.0737717971176049E-2</v>
      </c>
      <c r="H17" s="22">
        <f>IFERROR('Historical FS'!H12/'Historical FS'!H6,0)</f>
        <v>4.3825683774385282E-2</v>
      </c>
      <c r="I17" s="22">
        <f>IFERROR('Historical FS'!I12/'Historical FS'!I6,0)</f>
        <v>4.6038959711651804E-2</v>
      </c>
      <c r="J17" s="22">
        <f>IFERROR('Historical FS'!J12/'Historical FS'!J6,0)</f>
        <v>4.6951259191774584E-2</v>
      </c>
      <c r="K17" s="22">
        <f>IFERROR('Historical FS'!K12/'Historical FS'!K6,0)</f>
        <v>4.3984293514939564E-2</v>
      </c>
      <c r="L17" s="22">
        <f>IFERROR('Historical FS'!L12/'Historical FS'!L6,0)</f>
        <v>4.5412818359921635E-2</v>
      </c>
      <c r="M17" s="21"/>
      <c r="N17" s="22">
        <f t="shared" si="0"/>
        <v>5.5233593900190302E-2</v>
      </c>
      <c r="O17" s="22">
        <f t="shared" si="1"/>
        <v>4.6038959711651804E-2</v>
      </c>
    </row>
    <row r="18" spans="2:15" x14ac:dyDescent="0.25">
      <c r="B18" t="s">
        <v>95</v>
      </c>
      <c r="C18" s="23">
        <f>IFERROR('Historical FS'!C19,0)</f>
        <v>2.4867122247532271E-2</v>
      </c>
      <c r="D18" s="23">
        <f>IFERROR('Historical FS'!D19,0)</f>
        <v>2.6417288222115084E-2</v>
      </c>
      <c r="E18" s="23">
        <f>IFERROR('Historical FS'!E19,0)</f>
        <v>2.4324160870879952E-2</v>
      </c>
      <c r="F18" s="23">
        <f>IFERROR('Historical FS'!F19,0)</f>
        <v>3.1864391845006661E-2</v>
      </c>
      <c r="G18" s="23">
        <f>IFERROR('Historical FS'!G19,0)</f>
        <v>3.2516522016084085E-2</v>
      </c>
      <c r="H18" s="23">
        <f>IFERROR('Historical FS'!H19,0)</f>
        <v>2.8575891352422292E-2</v>
      </c>
      <c r="I18" s="23">
        <f>IFERROR('Historical FS'!I19,0)</f>
        <v>2.8787125171189708E-2</v>
      </c>
      <c r="J18" s="23">
        <f>IFERROR('Historical FS'!J19,0)</f>
        <v>3.0441855925034164E-2</v>
      </c>
      <c r="K18" s="23">
        <f>IFERROR('Historical FS'!K19,0)</f>
        <v>2.9523283637032948E-2</v>
      </c>
      <c r="L18" s="23">
        <f>IFERROR('Historical FS'!L19,0)</f>
        <v>2.7439126784214944E-2</v>
      </c>
      <c r="N18" s="23">
        <f t="shared" si="0"/>
        <v>2.8876627313775535E-2</v>
      </c>
      <c r="O18" s="23">
        <f t="shared" si="1"/>
        <v>2.8787125171189708E-2</v>
      </c>
    </row>
    <row r="19" spans="2:15" x14ac:dyDescent="0.25">
      <c r="B19" s="24" t="s">
        <v>96</v>
      </c>
      <c r="C19" s="25">
        <f>IFERROR('Ratio analysis'!C13,0)</f>
        <v>0.24678757081946148</v>
      </c>
      <c r="D19" s="25">
        <f>IFERROR('Ratio analysis'!D13,0)</f>
        <v>0.24047814866282863</v>
      </c>
      <c r="E19" s="25">
        <f>IFERROR('Ratio analysis'!E13,0)</f>
        <v>0.2196431811309344</v>
      </c>
      <c r="F19" s="25">
        <f>IFERROR('Ratio analysis'!F13,0)</f>
        <v>0.21339119516251612</v>
      </c>
      <c r="G19" s="25">
        <f>IFERROR('Ratio analysis'!G13,0)</f>
        <v>0.24506330121824987</v>
      </c>
      <c r="H19" s="25">
        <f>IFERROR('Ratio analysis'!H13,0)</f>
        <v>0.23030885967724699</v>
      </c>
      <c r="I19" s="25">
        <f>IFERROR('Ratio analysis'!I13,0)</f>
        <v>0.21057185879659596</v>
      </c>
      <c r="J19" s="25">
        <f>IFERROR('Ratio analysis'!J13,0)</f>
        <v>0.20659204789483959</v>
      </c>
      <c r="K19" s="25">
        <f>IFERROR('Ratio analysis'!K13,0)</f>
        <v>0.21120314129701209</v>
      </c>
      <c r="L19" s="25">
        <f>IFERROR('Ratio analysis'!L13,0)</f>
        <v>0.20922474111390987</v>
      </c>
      <c r="M19" s="24"/>
      <c r="N19" s="25">
        <f t="shared" si="0"/>
        <v>0.22071960832823703</v>
      </c>
      <c r="O19" s="25">
        <f t="shared" si="1"/>
        <v>0.21339119516251612</v>
      </c>
    </row>
    <row r="20" spans="2:15" x14ac:dyDescent="0.25">
      <c r="C20" s="13"/>
      <c r="N20" s="13"/>
      <c r="O20" s="13"/>
    </row>
    <row r="21" spans="2:15" x14ac:dyDescent="0.25">
      <c r="B21" s="21" t="s">
        <v>97</v>
      </c>
      <c r="C21" s="22">
        <f>IFERROR(('Historical FS'!C14-'Historical FS'!C18)/SUM('Historical FS'!C39:C41),0)</f>
        <v>0.24500594357948449</v>
      </c>
      <c r="D21" s="22">
        <f>IFERROR(('Historical FS'!D14-'Historical FS'!D18)/SUM('Historical FS'!D39:D41),0)</f>
        <v>0.26121713414352388</v>
      </c>
      <c r="E21" s="22">
        <f>IFERROR(('Historical FS'!E14-'Historical FS'!E18)/SUM('Historical FS'!E39:E41),0)</f>
        <v>0.27959290509330542</v>
      </c>
      <c r="F21" s="22">
        <f>IFERROR(('Historical FS'!F14-'Historical FS'!F18)/SUM('Historical FS'!F39:F41),0)</f>
        <v>0.27644364539189248</v>
      </c>
      <c r="G21" s="22">
        <f>IFERROR(('Historical FS'!G14-'Historical FS'!G18)/SUM('Historical FS'!G39:G41),0)</f>
        <v>0.30145942504530093</v>
      </c>
      <c r="H21" s="22">
        <f>IFERROR(('Historical FS'!H14-'Historical FS'!H18)/SUM('Historical FS'!H39:H41),0)</f>
        <v>0.34661734138374739</v>
      </c>
      <c r="I21" s="22">
        <f>IFERROR(('Historical FS'!I14-'Historical FS'!I18)/SUM('Historical FS'!I39:I41),0)</f>
        <v>0.36920889780899818</v>
      </c>
      <c r="J21" s="22">
        <f>IFERROR(('Historical FS'!J14-'Historical FS'!J18)/SUM('Historical FS'!J39:J41),0)</f>
        <v>0.32906970717802542</v>
      </c>
      <c r="K21" s="22">
        <f>IFERROR(('Historical FS'!K14-'Historical FS'!K18)/SUM('Historical FS'!K39:K41),0)</f>
        <v>0.33085684079004279</v>
      </c>
      <c r="L21" s="22">
        <f>IFERROR(('Historical FS'!L14-'Historical FS'!L18)/SUM('Historical FS'!L39:L41),0)</f>
        <v>0.36635041361194964</v>
      </c>
      <c r="M21" s="21"/>
      <c r="N21" s="22">
        <f t="shared" si="0"/>
        <v>0.31786847893853182</v>
      </c>
      <c r="O21" s="22">
        <f t="shared" si="1"/>
        <v>0.32906970717802542</v>
      </c>
    </row>
    <row r="22" spans="2:15" x14ac:dyDescent="0.25">
      <c r="B22" t="s">
        <v>98</v>
      </c>
      <c r="C22" s="23">
        <f>IFERROR('Historical FS'!C35,0)</f>
        <v>0.58952135442067854</v>
      </c>
      <c r="D22" s="23">
        <f>IFERROR('Historical FS'!D35,0)</f>
        <v>0.40947033501778018</v>
      </c>
      <c r="E22" s="23">
        <f>IFERROR('Historical FS'!E35,0)</f>
        <v>0.40152498377676826</v>
      </c>
      <c r="F22" s="23">
        <f>IFERROR('Historical FS'!F35,0)</f>
        <v>0.55363904080774073</v>
      </c>
      <c r="G22" s="23">
        <f>IFERROR('Historical FS'!G35,0)</f>
        <v>0.40948360191525501</v>
      </c>
      <c r="H22" s="23">
        <f>IFERROR('Historical FS'!H35,0)</f>
        <v>0.41264336674794544</v>
      </c>
      <c r="I22" s="23">
        <f>IFERROR('Historical FS'!I35,0)</f>
        <v>0.41640949062551846</v>
      </c>
      <c r="J22" s="23">
        <f>IFERROR('Historical FS'!J35,0)</f>
        <v>0.27410850350502891</v>
      </c>
      <c r="K22" s="23">
        <f>IFERROR('Historical FS'!K35,0)</f>
        <v>0.33354018691588794</v>
      </c>
      <c r="L22" s="23">
        <f>IFERROR('Historical FS'!L35,0)</f>
        <v>0.34076134898554644</v>
      </c>
      <c r="N22" s="23">
        <f t="shared" si="0"/>
        <v>0.39462009536638565</v>
      </c>
      <c r="O22" s="23">
        <f t="shared" si="1"/>
        <v>0.40947033501778018</v>
      </c>
    </row>
    <row r="23" spans="2:15" x14ac:dyDescent="0.25">
      <c r="B23" t="s">
        <v>99</v>
      </c>
      <c r="C23" s="23">
        <f>IFERROR('Historical FS'!C26/SUM('Historical FS'!C39:C40),)</f>
        <v>0.20806877156359629</v>
      </c>
      <c r="D23" s="23">
        <f>IFERROR('Historical FS'!D26/SUM('Historical FS'!D39:D40),)</f>
        <v>0.24689247262141306</v>
      </c>
      <c r="E23" s="23">
        <f>IFERROR('Historical FS'!E26/SUM('Historical FS'!E39:E40),)</f>
        <v>0.23726673646609595</v>
      </c>
      <c r="F23" s="23">
        <f>IFERROR('Historical FS'!F26/SUM('Historical FS'!F39:F40),)</f>
        <v>0.25422459893048127</v>
      </c>
      <c r="G23" s="23">
        <f>IFERROR('Historical FS'!G26/SUM('Historical FS'!G39:G40),)</f>
        <v>0.2543909051616875</v>
      </c>
      <c r="H23" s="23">
        <f>IFERROR('Historical FS'!H26/SUM('Historical FS'!H39:H40),)</f>
        <v>0.29390842733908429</v>
      </c>
      <c r="I23" s="23">
        <f>IFERROR('Historical FS'!I26/SUM('Historical FS'!I39:I40),)</f>
        <v>0.31970506716883046</v>
      </c>
      <c r="J23" s="23">
        <f>IFERROR('Historical FS'!J26/SUM('Historical FS'!J39:J40),)</f>
        <v>0.29788006718416632</v>
      </c>
      <c r="K23" s="23">
        <f>IFERROR('Historical FS'!K26/SUM('Historical FS'!K39:K40),)</f>
        <v>0.27917510279905655</v>
      </c>
      <c r="L23" s="23">
        <f>IFERROR('Historical FS'!L26/SUM('Historical FS'!L39:L40),)</f>
        <v>0.31742988842458969</v>
      </c>
      <c r="N23" s="23">
        <f t="shared" si="0"/>
        <v>0.27787480734393388</v>
      </c>
      <c r="O23" s="23">
        <f t="shared" si="1"/>
        <v>0.27917510279905655</v>
      </c>
    </row>
    <row r="24" spans="2:15" x14ac:dyDescent="0.25">
      <c r="B24" t="s">
        <v>100</v>
      </c>
      <c r="C24" s="23">
        <f>C22*C23</f>
        <v>0.12266098402481805</v>
      </c>
      <c r="D24" s="23">
        <f t="shared" ref="D24:L24" si="2">D22*D23</f>
        <v>0.10109514347765813</v>
      </c>
      <c r="E24" s="23">
        <f t="shared" si="2"/>
        <v>9.5268522510315923E-2</v>
      </c>
      <c r="F24" s="23">
        <f t="shared" si="2"/>
        <v>0.14074866310160425</v>
      </c>
      <c r="G24" s="23">
        <f t="shared" si="2"/>
        <v>0.10416890414008984</v>
      </c>
      <c r="H24" s="23">
        <f t="shared" si="2"/>
        <v>0.12127936297279363</v>
      </c>
      <c r="I24" s="23">
        <f t="shared" si="2"/>
        <v>0.13312822417016987</v>
      </c>
      <c r="J24" s="23">
        <f t="shared" si="2"/>
        <v>8.1651459439829308E-2</v>
      </c>
      <c r="K24" s="23">
        <f t="shared" si="2"/>
        <v>9.3116115969859553E-2</v>
      </c>
      <c r="L24" s="23">
        <f t="shared" si="2"/>
        <v>0.10816783698789467</v>
      </c>
      <c r="N24" s="23">
        <f t="shared" si="0"/>
        <v>0.10873602586335725</v>
      </c>
      <c r="O24" s="23">
        <f t="shared" si="1"/>
        <v>0.10416890414008984</v>
      </c>
    </row>
    <row r="25" spans="2:15" x14ac:dyDescent="0.25">
      <c r="B25" s="24" t="s">
        <v>101</v>
      </c>
      <c r="C25" s="26">
        <f>IFERROR(('Historical FS'!C14-'Historical FS'!C18)/'Historical FS'!C20,0)</f>
        <v>0</v>
      </c>
      <c r="D25" s="26">
        <f>IFERROR(('Historical FS'!D14-'Historical FS'!D18)/'Historical FS'!D20,0)</f>
        <v>0</v>
      </c>
      <c r="E25" s="26">
        <f>IFERROR(('Historical FS'!E14-'Historical FS'!E18)/'Historical FS'!E20,0)</f>
        <v>0</v>
      </c>
      <c r="F25" s="26">
        <f>IFERROR(('Historical FS'!F14-'Historical FS'!F18)/'Historical FS'!F20,0)</f>
        <v>113.96470588235294</v>
      </c>
      <c r="G25" s="26">
        <f>IFERROR(('Historical FS'!G14-'Historical FS'!G18)/'Historical FS'!G20,0)</f>
        <v>126.26666666666667</v>
      </c>
      <c r="H25" s="26">
        <f>IFERROR(('Historical FS'!H14-'Historical FS'!H18)/'Historical FS'!H20,0)</f>
        <v>140.07499999999999</v>
      </c>
      <c r="I25" s="26">
        <f>IFERROR(('Historical FS'!I14-'Historical FS'!I18)/'Historical FS'!I20,0)</f>
        <v>108.82042253521126</v>
      </c>
      <c r="J25" s="26">
        <f>IFERROR(('Historical FS'!J14-'Historical FS'!J18)/'Historical FS'!J20,0)</f>
        <v>67.5468085106383</v>
      </c>
      <c r="K25" s="26">
        <f>IFERROR(('Historical FS'!K14-'Historical FS'!K18)/'Historical FS'!K20,0)</f>
        <v>82.75</v>
      </c>
      <c r="L25" s="26">
        <f>IFERROR(('Historical FS'!L14-'Historical FS'!L18)/'Historical FS'!L20,0)</f>
        <v>89.850961538461533</v>
      </c>
      <c r="M25" s="24"/>
      <c r="N25" s="26">
        <f t="shared" si="0"/>
        <v>81.030507237036744</v>
      </c>
      <c r="O25" s="26">
        <f t="shared" si="1"/>
        <v>89.850961538461533</v>
      </c>
    </row>
    <row r="26" spans="2:15" x14ac:dyDescent="0.25">
      <c r="C26" s="13"/>
      <c r="N26" s="13"/>
      <c r="O26" s="13"/>
    </row>
    <row r="27" spans="2:15" x14ac:dyDescent="0.25">
      <c r="B27" s="21" t="s">
        <v>102</v>
      </c>
      <c r="C27" s="27">
        <f>IFERROR('Historical FS'!C6/'Historical FS'!C51,0)</f>
        <v>5.5578639831196233</v>
      </c>
      <c r="D27" s="27">
        <f>IFERROR('Historical FS'!D6/'Historical FS'!D51,0)</f>
        <v>5.3661543144118093</v>
      </c>
      <c r="E27" s="27">
        <f>IFERROR('Historical FS'!E6/'Historical FS'!E51,0)</f>
        <v>5.5759762595265396</v>
      </c>
      <c r="F27" s="27">
        <f>IFERROR('Historical FS'!F6/'Historical FS'!F51,0)</f>
        <v>4.9110726456428839</v>
      </c>
      <c r="G27" s="27">
        <f>IFERROR('Historical FS'!G6/'Historical FS'!G51,0)</f>
        <v>5.2074219964755883</v>
      </c>
      <c r="H27" s="27">
        <f>IFERROR('Historical FS'!H6/'Historical FS'!H51,0)</f>
        <v>5.3591065292096216</v>
      </c>
      <c r="I27" s="27">
        <f>IFERROR('Historical FS'!I6/'Historical FS'!I51,0)</f>
        <v>5.7727737570799249</v>
      </c>
      <c r="J27" s="27">
        <f>IFERROR('Historical FS'!J6/'Historical FS'!J51,0)</f>
        <v>5.0895903023879709</v>
      </c>
      <c r="K27" s="27">
        <f>IFERROR('Historical FS'!K6/'Historical FS'!K51,0)</f>
        <v>5.2310803004043906</v>
      </c>
      <c r="L27" s="27">
        <f>IFERROR('Historical FS'!L6/'Historical FS'!L51,0)</f>
        <v>5.0703865584378729</v>
      </c>
      <c r="M27" s="21"/>
      <c r="N27" s="27">
        <f t="shared" si="0"/>
        <v>5.287062518175178</v>
      </c>
      <c r="O27" s="27">
        <f t="shared" si="1"/>
        <v>5.2310803004043906</v>
      </c>
    </row>
    <row r="28" spans="2:15" x14ac:dyDescent="0.25">
      <c r="B28" t="s">
        <v>103</v>
      </c>
      <c r="C28" s="28">
        <f>IFERROR('Historical FS'!C6/'Historical FS'!C41,0)</f>
        <v>0</v>
      </c>
      <c r="D28" s="28">
        <f>IFERROR('Historical FS'!D6/'Historical FS'!D41,0)</f>
        <v>0</v>
      </c>
      <c r="E28" s="28">
        <f>IFERROR('Historical FS'!E6/'Historical FS'!E41,0)</f>
        <v>0</v>
      </c>
      <c r="F28" s="28">
        <f>IFERROR('Historical FS'!F6/'Historical FS'!F41,0)</f>
        <v>19.596589682710988</v>
      </c>
      <c r="G28" s="28">
        <f>IFERROR('Historical FS'!G6/'Historical FS'!G41,0)</f>
        <v>18.867981220657278</v>
      </c>
      <c r="H28" s="28">
        <f>IFERROR('Historical FS'!H6/'Historical FS'!H41,0)</f>
        <v>22.221592985020095</v>
      </c>
      <c r="I28" s="28">
        <f>IFERROR('Historical FS'!I6/'Historical FS'!I41,0)</f>
        <v>17.684901795397035</v>
      </c>
      <c r="J28" s="28">
        <f>IFERROR('Historical FS'!J6/'Historical FS'!J41,0)</f>
        <v>18.383777963871278</v>
      </c>
      <c r="K28" s="28">
        <f>IFERROR('Historical FS'!K6/'Historical FS'!K41,0)</f>
        <v>19.811595964507109</v>
      </c>
      <c r="L28" s="28">
        <f>IFERROR('Historical FS'!L6/'Historical FS'!L41,0)</f>
        <v>19.469267654751526</v>
      </c>
      <c r="N28" s="28">
        <f t="shared" si="0"/>
        <v>15.115078585212814</v>
      </c>
      <c r="O28" s="28">
        <f t="shared" si="1"/>
        <v>18.867981220657278</v>
      </c>
    </row>
    <row r="29" spans="2:15" x14ac:dyDescent="0.25">
      <c r="B29" t="s">
        <v>104</v>
      </c>
      <c r="C29" s="28">
        <f>IFERROR('Historical FS'!C6/'Historical FS'!C52,0)</f>
        <v>0</v>
      </c>
      <c r="D29" s="28">
        <f>IFERROR('Historical FS'!D6/'Historical FS'!D52,0)</f>
        <v>0</v>
      </c>
      <c r="E29" s="28">
        <f>IFERROR('Historical FS'!E6/'Historical FS'!E52,0)</f>
        <v>0</v>
      </c>
      <c r="F29" s="28">
        <f>IFERROR('Historical FS'!F6/'Historical FS'!F52,0)</f>
        <v>0</v>
      </c>
      <c r="G29" s="28">
        <f>IFERROR('Historical FS'!G6/'Historical FS'!G52,0)</f>
        <v>0</v>
      </c>
      <c r="H29" s="28">
        <f>IFERROR('Historical FS'!H6/'Historical FS'!H52,0)</f>
        <v>0</v>
      </c>
      <c r="I29" s="28">
        <f>IFERROR('Historical FS'!I6/'Historical FS'!I52,0)</f>
        <v>0</v>
      </c>
      <c r="J29" s="28">
        <f>IFERROR('Historical FS'!J6/'Historical FS'!J52,0)</f>
        <v>0</v>
      </c>
      <c r="K29" s="28">
        <f>IFERROR('Historical FS'!K6/'Historical FS'!K52,0)</f>
        <v>0</v>
      </c>
      <c r="L29" s="28">
        <f>IFERROR('Historical FS'!L6/'Historical FS'!L52,0)</f>
        <v>0</v>
      </c>
      <c r="N29" s="28">
        <f t="shared" si="0"/>
        <v>0</v>
      </c>
      <c r="O29" s="28">
        <f t="shared" si="1"/>
        <v>0</v>
      </c>
    </row>
    <row r="30" spans="2:15" x14ac:dyDescent="0.25">
      <c r="B30" t="s">
        <v>105</v>
      </c>
      <c r="C30" s="28">
        <f>IFERROR('Historical FS'!C6/'Historical FS'!C45,0)</f>
        <v>4.8299597997037873</v>
      </c>
      <c r="D30" s="28">
        <f>IFERROR('Historical FS'!D6/'Historical FS'!D45,0)</f>
        <v>5.6085573405439799</v>
      </c>
      <c r="E30" s="28">
        <f>IFERROR('Historical FS'!E6/'Historical FS'!E45,0)</f>
        <v>5.2625716104392106</v>
      </c>
      <c r="F30" s="28">
        <f>IFERROR('Historical FS'!F6/'Historical FS'!F45,0)</f>
        <v>3.8165118332002188</v>
      </c>
      <c r="G30" s="28">
        <f>IFERROR('Historical FS'!G6/'Historical FS'!G45,0)</f>
        <v>3.9393060184277591</v>
      </c>
      <c r="H30" s="28">
        <f>IFERROR('Historical FS'!H6/'Historical FS'!H45,0)</f>
        <v>4.7147674418604648</v>
      </c>
      <c r="I30" s="28">
        <f>IFERROR('Historical FS'!I6/'Historical FS'!I45,0)</f>
        <v>5.0219674935842598</v>
      </c>
      <c r="J30" s="28">
        <f>IFERROR('Historical FS'!J6/'Historical FS'!J45,0)</f>
        <v>5.5633190934762142</v>
      </c>
      <c r="K30" s="28">
        <f>IFERROR('Historical FS'!K6/'Historical FS'!K45,0)</f>
        <v>5.2643648460967025</v>
      </c>
      <c r="L30" s="28">
        <f>IFERROR('Historical FS'!L6/'Historical FS'!L45,0)</f>
        <v>5.2901984009475864</v>
      </c>
      <c r="N30" s="28">
        <f t="shared" si="0"/>
        <v>4.9423960087307108</v>
      </c>
      <c r="O30" s="28">
        <f t="shared" si="1"/>
        <v>5.2625716104392106</v>
      </c>
    </row>
    <row r="31" spans="2:15" x14ac:dyDescent="0.25">
      <c r="B31" s="24" t="s">
        <v>106</v>
      </c>
      <c r="C31" s="26">
        <f>IFERROR('Historical FS'!C6/SUM('Historical FS'!C39:C40),0)</f>
        <v>0.99278072540662776</v>
      </c>
      <c r="D31" s="26">
        <f>IFERROR('Historical FS'!D6/SUM('Historical FS'!D39:D40),0)</f>
        <v>1.0862406235078477</v>
      </c>
      <c r="E31" s="26">
        <f>IFERROR('Historical FS'!E6/SUM('Historical FS'!E39:E40),0)</f>
        <v>1.2729414300671307</v>
      </c>
      <c r="F31" s="26">
        <f>IFERROR('Historical FS'!F6/SUM('Historical FS'!F39:F40),0)</f>
        <v>1.3871810542398777</v>
      </c>
      <c r="G31" s="26">
        <f>IFERROR('Historical FS'!G6/SUM('Historical FS'!G39:G40),0)</f>
        <v>1.3159225157496299</v>
      </c>
      <c r="H31" s="26">
        <f>IFERROR('Historical FS'!H6/SUM('Historical FS'!H39:H40),0)</f>
        <v>1.6143463835434639</v>
      </c>
      <c r="I31" s="26">
        <f>IFERROR('Historical FS'!I6/SUM('Historical FS'!I39:I40),0)</f>
        <v>1.9463312424575967</v>
      </c>
      <c r="J31" s="26">
        <f>IFERROR('Historical FS'!J6/SUM('Historical FS'!J39:J40),0)</f>
        <v>1.7439511552952927</v>
      </c>
      <c r="K31" s="26">
        <f>IFERROR('Historical FS'!K6/SUM('Historical FS'!K39:K40),0)</f>
        <v>1.701037383372644</v>
      </c>
      <c r="L31" s="26">
        <f>IFERROR('Historical FS'!L6/SUM('Historical FS'!L39:L40),0)</f>
        <v>1.9240296385645974</v>
      </c>
      <c r="M31" s="24"/>
      <c r="N31" s="26">
        <f t="shared" si="0"/>
        <v>1.5546646029775646</v>
      </c>
      <c r="O31" s="26">
        <f t="shared" si="1"/>
        <v>1.6143463835434639</v>
      </c>
    </row>
    <row r="32" spans="2:15" x14ac:dyDescent="0.25">
      <c r="N32" s="13"/>
      <c r="O32" s="13"/>
    </row>
    <row r="33" spans="2:15" x14ac:dyDescent="0.25">
      <c r="B33" s="21" t="s">
        <v>107</v>
      </c>
      <c r="C33" s="29">
        <f>IFERROR(365/C27,0)</f>
        <v>65.672711874306415</v>
      </c>
      <c r="D33" s="29">
        <f t="shared" ref="D33:L33" si="3">IFERROR(365/D27,0)</f>
        <v>68.018916082924477</v>
      </c>
      <c r="E33" s="29">
        <f t="shared" si="3"/>
        <v>65.459389174478375</v>
      </c>
      <c r="F33" s="29">
        <f t="shared" si="3"/>
        <v>74.321849081957467</v>
      </c>
      <c r="G33" s="29">
        <f t="shared" si="3"/>
        <v>70.092264511505689</v>
      </c>
      <c r="H33" s="29">
        <f t="shared" si="3"/>
        <v>68.108368066688044</v>
      </c>
      <c r="I33" s="29">
        <f t="shared" si="3"/>
        <v>63.227837320378555</v>
      </c>
      <c r="J33" s="29">
        <f t="shared" si="3"/>
        <v>71.715006182078483</v>
      </c>
      <c r="K33" s="29">
        <f t="shared" si="3"/>
        <v>69.775262286029815</v>
      </c>
      <c r="L33" s="29">
        <f t="shared" si="3"/>
        <v>71.986621886369988</v>
      </c>
      <c r="M33" s="21"/>
      <c r="N33" s="29">
        <f t="shared" si="0"/>
        <v>69.18950162137898</v>
      </c>
      <c r="O33" s="29">
        <f t="shared" si="1"/>
        <v>69.775262286029815</v>
      </c>
    </row>
    <row r="34" spans="2:15" x14ac:dyDescent="0.25">
      <c r="B34" t="s">
        <v>108</v>
      </c>
      <c r="C34" s="30">
        <f>IFERROR(365/C28,0)</f>
        <v>0</v>
      </c>
      <c r="D34" s="30">
        <f t="shared" ref="D34:L34" si="4">IFERROR(365/D28,0)</f>
        <v>0</v>
      </c>
      <c r="E34" s="30">
        <f t="shared" si="4"/>
        <v>0</v>
      </c>
      <c r="F34" s="30">
        <f t="shared" si="4"/>
        <v>18.625689771012542</v>
      </c>
      <c r="G34" s="30">
        <f t="shared" si="4"/>
        <v>19.344941874353054</v>
      </c>
      <c r="H34" s="30">
        <f t="shared" si="4"/>
        <v>16.42546509811659</v>
      </c>
      <c r="I34" s="30">
        <f t="shared" si="4"/>
        <v>20.639074178800414</v>
      </c>
      <c r="J34" s="30">
        <f t="shared" si="4"/>
        <v>19.854460857682046</v>
      </c>
      <c r="K34" s="30">
        <f t="shared" si="4"/>
        <v>18.423553592244925</v>
      </c>
      <c r="L34" s="30">
        <f t="shared" si="4"/>
        <v>18.74749510215505</v>
      </c>
      <c r="N34" s="30">
        <f t="shared" si="0"/>
        <v>14.673408941596071</v>
      </c>
      <c r="O34" s="30">
        <f t="shared" si="1"/>
        <v>18.625689771012542</v>
      </c>
    </row>
    <row r="35" spans="2:15" x14ac:dyDescent="0.25">
      <c r="B35" t="s">
        <v>109</v>
      </c>
      <c r="C35" s="30">
        <f>IFERROR(365/C29,0)</f>
        <v>0</v>
      </c>
      <c r="D35" s="30">
        <f t="shared" ref="D35:L35" si="5">IFERROR(365/D29,0)</f>
        <v>0</v>
      </c>
      <c r="E35" s="30">
        <f t="shared" si="5"/>
        <v>0</v>
      </c>
      <c r="F35" s="30">
        <f t="shared" si="5"/>
        <v>0</v>
      </c>
      <c r="G35" s="30">
        <f t="shared" si="5"/>
        <v>0</v>
      </c>
      <c r="H35" s="30">
        <f t="shared" si="5"/>
        <v>0</v>
      </c>
      <c r="I35" s="30">
        <f t="shared" si="5"/>
        <v>0</v>
      </c>
      <c r="J35" s="30">
        <f t="shared" si="5"/>
        <v>0</v>
      </c>
      <c r="K35" s="30">
        <f t="shared" si="5"/>
        <v>0</v>
      </c>
      <c r="L35" s="30">
        <f t="shared" si="5"/>
        <v>0</v>
      </c>
      <c r="N35" s="30">
        <f t="shared" si="0"/>
        <v>0</v>
      </c>
      <c r="O35" s="30">
        <f t="shared" si="1"/>
        <v>0</v>
      </c>
    </row>
    <row r="36" spans="2:15" x14ac:dyDescent="0.25">
      <c r="B36" s="24" t="s">
        <v>110</v>
      </c>
      <c r="C36" s="31">
        <f>SUM(C33,C35)-C34</f>
        <v>65.672711874306415</v>
      </c>
      <c r="D36" s="31">
        <f t="shared" ref="D36:L36" si="6">SUM(D33,D35)-D34</f>
        <v>68.018916082924477</v>
      </c>
      <c r="E36" s="31">
        <f t="shared" si="6"/>
        <v>65.459389174478375</v>
      </c>
      <c r="F36" s="31">
        <f t="shared" si="6"/>
        <v>55.696159310944921</v>
      </c>
      <c r="G36" s="31">
        <f t="shared" si="6"/>
        <v>50.747322637152635</v>
      </c>
      <c r="H36" s="31">
        <f t="shared" si="6"/>
        <v>51.682902968571454</v>
      </c>
      <c r="I36" s="31">
        <f t="shared" si="6"/>
        <v>42.588763141578141</v>
      </c>
      <c r="J36" s="31">
        <f t="shared" si="6"/>
        <v>51.86054532439644</v>
      </c>
      <c r="K36" s="31">
        <f t="shared" si="6"/>
        <v>51.351708693784886</v>
      </c>
      <c r="L36" s="31">
        <f t="shared" si="6"/>
        <v>53.239126784214939</v>
      </c>
      <c r="M36" s="24"/>
      <c r="N36" s="31">
        <f t="shared" si="0"/>
        <v>54.516092679782915</v>
      </c>
      <c r="O36" s="31">
        <f t="shared" si="1"/>
        <v>51.86054532439644</v>
      </c>
    </row>
    <row r="37" spans="2:15" x14ac:dyDescent="0.25">
      <c r="N37" s="13"/>
      <c r="O37" s="13"/>
    </row>
    <row r="38" spans="2:15" x14ac:dyDescent="0.25">
      <c r="B38" s="21" t="s">
        <v>111</v>
      </c>
      <c r="C38" s="22">
        <f>IFERROR('Historical FS'!C62/'Historical FS'!C6,0)</f>
        <v>0.16837509491268032</v>
      </c>
      <c r="D38" s="22">
        <f>IFERROR('Historical FS'!D62/'Historical FS'!D6,0)</f>
        <v>0.18743087263548963</v>
      </c>
      <c r="E38" s="22">
        <f>IFERROR('Historical FS'!E62/'Historical FS'!E6,0)</f>
        <v>0.179510130027215</v>
      </c>
      <c r="F38" s="22">
        <f>IFERROR('Historical FS'!F62/'Historical FS'!F6,0)</f>
        <v>0.18727627187716844</v>
      </c>
      <c r="G38" s="22">
        <f>IFERROR('Historical FS'!G62/'Historical FS'!G6,0)</f>
        <v>0.23114897682936539</v>
      </c>
      <c r="H38" s="22">
        <f>IFERROR('Historical FS'!H62/'Historical FS'!H6,0)</f>
        <v>0.1963564916434426</v>
      </c>
      <c r="I38" s="22">
        <f>IFERROR('Historical FS'!I62/'Historical FS'!I6,0)</f>
        <v>0.15307937070322347</v>
      </c>
      <c r="J38" s="22">
        <f>IFERROR('Historical FS'!J62/'Historical FS'!J6,0)</f>
        <v>0.16405284050237523</v>
      </c>
      <c r="K38" s="22">
        <f>IFERROR('Historical FS'!K62/'Historical FS'!K6,0)</f>
        <v>0.21899503036996135</v>
      </c>
      <c r="L38" s="22">
        <f>IFERROR('Historical FS'!L62/'Historical FS'!L6,0)</f>
        <v>0.19023789532605653</v>
      </c>
      <c r="M38" s="21"/>
      <c r="N38" s="22">
        <f t="shared" si="0"/>
        <v>0.18978754221269975</v>
      </c>
      <c r="O38" s="22">
        <f t="shared" si="1"/>
        <v>0.18743087263548963</v>
      </c>
    </row>
    <row r="39" spans="2:15" x14ac:dyDescent="0.25">
      <c r="B39" t="s">
        <v>112</v>
      </c>
      <c r="C39" s="23">
        <f>IFERROR('Historical FS'!C62/'Historical FS'!C56,0)</f>
        <v>0.13868042526579111</v>
      </c>
      <c r="D39" s="23">
        <f>IFERROR('Historical FS'!D62/'Historical FS'!D56,0)</f>
        <v>0.16658054921927182</v>
      </c>
      <c r="E39" s="23">
        <f>IFERROR('Historical FS'!E62/'Historical FS'!E56,0)</f>
        <v>0.17653986153736351</v>
      </c>
      <c r="F39" s="23">
        <f>IFERROR('Historical FS'!F62/'Historical FS'!F56,0)</f>
        <v>0.18521786492374728</v>
      </c>
      <c r="G39" s="23">
        <f>IFERROR('Historical FS'!G62/'Historical FS'!G56,0)</f>
        <v>0.21601510543107216</v>
      </c>
      <c r="H39" s="23">
        <f>IFERROR('Historical FS'!H62/'Historical FS'!H56,0)</f>
        <v>0.20461924628841163</v>
      </c>
      <c r="I39" s="23">
        <f>IFERROR('Historical FS'!I62/'Historical FS'!I56,0)</f>
        <v>0.18031879033034767</v>
      </c>
      <c r="J39" s="23">
        <f>IFERROR('Historical FS'!J62/'Historical FS'!J56,0)</f>
        <v>0.18534039111895309</v>
      </c>
      <c r="K39" s="23">
        <f>IFERROR('Historical FS'!K62/'Historical FS'!K56,0)</f>
        <v>0.24151019993910483</v>
      </c>
      <c r="L39" s="23">
        <f>IFERROR('Historical FS'!L62/'Historical FS'!L56,0)</f>
        <v>0.22027636627605518</v>
      </c>
      <c r="N39" s="23">
        <f t="shared" si="0"/>
        <v>0.19737981945159189</v>
      </c>
      <c r="O39" s="23">
        <f t="shared" si="1"/>
        <v>0.18534039111895309</v>
      </c>
    </row>
    <row r="40" spans="2:15" x14ac:dyDescent="0.25">
      <c r="B40" s="24" t="s">
        <v>113</v>
      </c>
      <c r="C40" s="25">
        <f>IFERROR('Historical FS'!C62/'Historical FS'!C41,0)</f>
        <v>0</v>
      </c>
      <c r="D40" s="25">
        <f>IFERROR('Historical FS'!D62/'Historical FS'!D41,0)</f>
        <v>0</v>
      </c>
      <c r="E40" s="25">
        <f>IFERROR('Historical FS'!E62/'Historical FS'!E41,0)</f>
        <v>0</v>
      </c>
      <c r="F40" s="25">
        <f>IFERROR('Historical FS'!F62/'Historical FS'!F41,0)</f>
        <v>3.6699762572846968</v>
      </c>
      <c r="G40" s="25">
        <f>IFERROR('Historical FS'!G62/'Historical FS'!G41,0)</f>
        <v>4.36131455399061</v>
      </c>
      <c r="H40" s="25">
        <f>IFERROR('Historical FS'!H62/'Historical FS'!H41,0)</f>
        <v>4.3633540372670812</v>
      </c>
      <c r="I40" s="25">
        <f>IFERROR('Historical FS'!I62/'Historical FS'!I41,0)</f>
        <v>2.7071936377876851</v>
      </c>
      <c r="J40" s="25">
        <f>IFERROR('Historical FS'!J62/'Historical FS'!J41,0)</f>
        <v>3.0159109941380549</v>
      </c>
      <c r="K40" s="25">
        <f>IFERROR('Historical FS'!K62/'Historical FS'!K41,0)</f>
        <v>4.3386410599246386</v>
      </c>
      <c r="L40" s="25">
        <f>IFERROR('Historical FS'!L62/'Historical FS'!L41,0)</f>
        <v>3.7037925021795988</v>
      </c>
      <c r="M40" s="24"/>
      <c r="N40" s="25">
        <f t="shared" si="0"/>
        <v>2.9066870047302631</v>
      </c>
      <c r="O40" s="25">
        <f t="shared" si="1"/>
        <v>3.6699762572846968</v>
      </c>
    </row>
  </sheetData>
  <sheetProtection sheet="1" objects="1" scenarios="1"/>
  <mergeCells count="1">
    <mergeCell ref="B2:O2"/>
  </mergeCells>
  <pageMargins left="0.7" right="0.7" top="0.75" bottom="0.75" header="0.3" footer="0.3"/>
  <pageSetup scale="68" orientation="landscape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C720178-6F4B-4962-86D5-34E61B18A3E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  <x14:sparkline>
              <xm:f>'Ratio analysis'!D10:L10</xm:f>
              <xm:sqref>M10</xm:sqref>
            </x14:sparkline>
            <x14:sparkline>
              <xm:f>'Ratio analysis'!D11:L11</xm:f>
              <xm:sqref>M11</xm:sqref>
            </x14:sparkline>
            <x14:sparkline>
              <xm:f>'Ratio analysis'!D12:L12</xm:f>
              <xm:sqref>M12</xm:sqref>
            </x14:sparkline>
            <x14:sparkline>
              <xm:f>'Ratio analysis'!D13:L13</xm:f>
              <xm:sqref>M13</xm:sqref>
            </x14:sparkline>
            <x14:sparkline>
              <xm:f>'Ratio analysis'!D14:L14</xm:f>
              <xm:sqref>M14</xm:sqref>
            </x14:sparkline>
            <x14:sparkline>
              <xm:f>'Ratio analysis'!D15:L15</xm:f>
              <xm:sqref>M15</xm:sqref>
            </x14:sparkline>
            <x14:sparkline>
              <xm:f>'Ratio analysis'!D16:L16</xm:f>
              <xm:sqref>M16</xm:sqref>
            </x14:sparkline>
            <x14:sparkline>
              <xm:f>'Ratio analysis'!D17:L17</xm:f>
              <xm:sqref>M17</xm:sqref>
            </x14:sparkline>
            <x14:sparkline>
              <xm:f>'Ratio analysis'!D18:L18</xm:f>
              <xm:sqref>M18</xm:sqref>
            </x14:sparkline>
            <x14:sparkline>
              <xm:f>'Ratio analysis'!D19:L19</xm:f>
              <xm:sqref>M19</xm:sqref>
            </x14:sparkline>
            <x14:sparkline>
              <xm:f>'Ratio analysis'!D20:L20</xm:f>
              <xm:sqref>M20</xm:sqref>
            </x14:sparkline>
            <x14:sparkline>
              <xm:f>'Ratio analysis'!D21:L21</xm:f>
              <xm:sqref>M21</xm:sqref>
            </x14:sparkline>
            <x14:sparkline>
              <xm:f>'Ratio analysis'!D22:L22</xm:f>
              <xm:sqref>M22</xm:sqref>
            </x14:sparkline>
            <x14:sparkline>
              <xm:f>'Ratio analysis'!D23:L23</xm:f>
              <xm:sqref>M23</xm:sqref>
            </x14:sparkline>
            <x14:sparkline>
              <xm:f>'Ratio analysis'!D24:L24</xm:f>
              <xm:sqref>M24</xm:sqref>
            </x14:sparkline>
            <x14:sparkline>
              <xm:f>'Ratio analysis'!D25:L25</xm:f>
              <xm:sqref>M25</xm:sqref>
            </x14:sparkline>
            <x14:sparkline>
              <xm:f>'Ratio analysis'!D26:L26</xm:f>
              <xm:sqref>M26</xm:sqref>
            </x14:sparkline>
            <x14:sparkline>
              <xm:f>'Ratio analysis'!D27:L27</xm:f>
              <xm:sqref>M27</xm:sqref>
            </x14:sparkline>
            <x14:sparkline>
              <xm:f>'Ratio analysis'!D28:L28</xm:f>
              <xm:sqref>M28</xm:sqref>
            </x14:sparkline>
            <x14:sparkline>
              <xm:f>'Ratio analysis'!D29:L29</xm:f>
              <xm:sqref>M29</xm:sqref>
            </x14:sparkline>
            <x14:sparkline>
              <xm:f>'Ratio analysis'!D30:L30</xm:f>
              <xm:sqref>M30</xm:sqref>
            </x14:sparkline>
            <x14:sparkline>
              <xm:f>'Ratio analysis'!D31:L31</xm:f>
              <xm:sqref>M31</xm:sqref>
            </x14:sparkline>
            <x14:sparkline>
              <xm:f>'Ratio analysis'!D32:L32</xm:f>
              <xm:sqref>M32</xm:sqref>
            </x14:sparkline>
            <x14:sparkline>
              <xm:f>'Ratio analysis'!D33:L33</xm:f>
              <xm:sqref>M33</xm:sqref>
            </x14:sparkline>
            <x14:sparkline>
              <xm:f>'Ratio analysis'!D34:L34</xm:f>
              <xm:sqref>M34</xm:sqref>
            </x14:sparkline>
            <x14:sparkline>
              <xm:f>'Ratio analysis'!D35:L35</xm:f>
              <xm:sqref>M35</xm:sqref>
            </x14:sparkline>
            <x14:sparkline>
              <xm:f>'Ratio analysis'!D36:L36</xm:f>
              <xm:sqref>M36</xm:sqref>
            </x14:sparkline>
            <x14:sparkline>
              <xm:f>'Ratio analysis'!D37:L37</xm:f>
              <xm:sqref>M37</xm:sqref>
            </x14:sparkline>
            <x14:sparkline>
              <xm:f>'Ratio analysis'!D38:L38</xm:f>
              <xm:sqref>M38</xm:sqref>
            </x14:sparkline>
            <x14:sparkline>
              <xm:f>'Ratio analysis'!D39:L39</xm:f>
              <xm:sqref>M39</xm:sqref>
            </x14:sparkline>
            <x14:sparkline>
              <xm:f>'Ratio analysis'!D40:L40</xm:f>
              <xm:sqref>M40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5E09-8103-44AB-ACDB-C5AB6DDCFADB}">
  <sheetPr>
    <tabColor rgb="FF002060"/>
  </sheetPr>
  <dimension ref="A1"/>
  <sheetViews>
    <sheetView workbookViewId="0">
      <selection activeCell="K24" sqref="K24"/>
    </sheetView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7762-952E-401F-85DD-221656EBB7F6}">
  <sheetPr>
    <pageSetUpPr fitToPage="1"/>
  </sheetPr>
  <dimension ref="A2:M101"/>
  <sheetViews>
    <sheetView showGridLines="0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24" sqref="H24:L24"/>
    </sheetView>
  </sheetViews>
  <sheetFormatPr defaultRowHeight="15" x14ac:dyDescent="0.25"/>
  <cols>
    <col min="1" max="1" width="2" customWidth="1"/>
    <col min="2" max="2" width="26.85546875" bestFit="1" customWidth="1"/>
    <col min="3" max="13" width="14.28515625" customWidth="1"/>
  </cols>
  <sheetData>
    <row r="2" spans="1:13" x14ac:dyDescent="0.25">
      <c r="B2" s="129" t="str">
        <f>"Historical Financial Statement -"&amp;'Data Sheet'!B1</f>
        <v>Historical Financial Statement -INFOSYS LTD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</row>
    <row r="3" spans="1:13" x14ac:dyDescent="0.25">
      <c r="B3" s="8" t="s">
        <v>54</v>
      </c>
      <c r="C3" s="9">
        <f>'Data Sheet'!B16</f>
        <v>42825</v>
      </c>
      <c r="D3" s="9">
        <f>'Data Sheet'!C16</f>
        <v>43190</v>
      </c>
      <c r="E3" s="9">
        <f>'Data Sheet'!D16</f>
        <v>43555</v>
      </c>
      <c r="F3" s="9">
        <f>'Data Sheet'!E16</f>
        <v>43921</v>
      </c>
      <c r="G3" s="9">
        <f>'Data Sheet'!F16</f>
        <v>44286</v>
      </c>
      <c r="H3" s="9">
        <f>'Data Sheet'!G16</f>
        <v>44651</v>
      </c>
      <c r="I3" s="9">
        <f>'Data Sheet'!H16</f>
        <v>45016</v>
      </c>
      <c r="J3" s="9">
        <f>'Data Sheet'!I16</f>
        <v>45382</v>
      </c>
      <c r="K3" s="9">
        <f>'Data Sheet'!J16</f>
        <v>45747</v>
      </c>
      <c r="L3" s="9">
        <f>'Data Sheet'!K16</f>
        <v>46112</v>
      </c>
    </row>
    <row r="5" spans="1:13" x14ac:dyDescent="0.25">
      <c r="A5" t="s">
        <v>55</v>
      </c>
      <c r="B5" s="10" t="s">
        <v>56</v>
      </c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3" x14ac:dyDescent="0.25">
      <c r="B6" s="64" t="s">
        <v>57</v>
      </c>
      <c r="C6" s="61">
        <f>IFERROR('Data Sheet'!B17,0)</f>
        <v>68484</v>
      </c>
      <c r="D6" s="61">
        <f>IFERROR('Data Sheet'!C17,0)</f>
        <v>70522</v>
      </c>
      <c r="E6" s="61">
        <f>IFERROR('Data Sheet'!D17,0)</f>
        <v>82675</v>
      </c>
      <c r="F6" s="61">
        <f>IFERROR('Data Sheet'!E17,0)</f>
        <v>90791</v>
      </c>
      <c r="G6" s="61">
        <f>IFERROR('Data Sheet'!F17,0)</f>
        <v>100472</v>
      </c>
      <c r="H6" s="61">
        <f>IFERROR('Data Sheet'!G17,0)</f>
        <v>121641</v>
      </c>
      <c r="I6" s="61">
        <f>IFERROR('Data Sheet'!H17,0)</f>
        <v>146767</v>
      </c>
      <c r="J6" s="61">
        <f>IFERROR('Data Sheet'!I17,0)</f>
        <v>153670</v>
      </c>
      <c r="K6" s="61">
        <f>IFERROR('Data Sheet'!J17,0)</f>
        <v>162990</v>
      </c>
      <c r="L6" s="61">
        <f>IFERROR('Data Sheet'!K17,0)</f>
        <v>178650</v>
      </c>
      <c r="M6" s="12"/>
    </row>
    <row r="7" spans="1:13" x14ac:dyDescent="0.25">
      <c r="B7" s="100" t="s">
        <v>58</v>
      </c>
      <c r="C7" s="101">
        <v>0</v>
      </c>
      <c r="D7" s="102">
        <f>(D6/C6-1)</f>
        <v>2.9758775772443125E-2</v>
      </c>
      <c r="E7" s="102">
        <f t="shared" ref="E7:L7" si="0">(E6/D6-1)</f>
        <v>0.17232920223476356</v>
      </c>
      <c r="F7" s="102">
        <f t="shared" si="0"/>
        <v>9.8167523435137571E-2</v>
      </c>
      <c r="G7" s="102">
        <f t="shared" si="0"/>
        <v>0.10662951173574475</v>
      </c>
      <c r="H7" s="102">
        <f t="shared" si="0"/>
        <v>0.21069551715900947</v>
      </c>
      <c r="I7" s="102">
        <f t="shared" si="0"/>
        <v>0.20655864387829759</v>
      </c>
      <c r="J7" s="102">
        <f t="shared" si="0"/>
        <v>4.7033733741236095E-2</v>
      </c>
      <c r="K7" s="102">
        <f t="shared" si="0"/>
        <v>6.0649443612936782E-2</v>
      </c>
      <c r="L7" s="102">
        <f t="shared" si="0"/>
        <v>9.6079514080618544E-2</v>
      </c>
      <c r="M7" s="13"/>
    </row>
    <row r="8" spans="1:13" x14ac:dyDescent="0.25">
      <c r="B8" s="64" t="s">
        <v>59</v>
      </c>
      <c r="C8" s="61">
        <f>IFERROR(SUM('Data Sheet'!B20:B22,'Data Sheet'!B18)-1*'Data Sheet'!B19,0)</f>
        <v>44609</v>
      </c>
      <c r="D8" s="61">
        <f>IFERROR(SUM('Data Sheet'!C20:C22,'Data Sheet'!C18)-1*'Data Sheet'!C19,0)</f>
        <v>46395</v>
      </c>
      <c r="E8" s="61">
        <f>IFERROR(SUM('Data Sheet'!D20:D22,'Data Sheet'!D18)-1*'Data Sheet'!D19,0)</f>
        <v>55446</v>
      </c>
      <c r="F8" s="61">
        <f>IFERROR(SUM('Data Sheet'!E20:E22,'Data Sheet'!E18)-1*'Data Sheet'!E19,0)</f>
        <v>62210</v>
      </c>
      <c r="G8" s="61">
        <f>IFERROR(SUM('Data Sheet'!F20:F22,'Data Sheet'!F18)-1*'Data Sheet'!F19,0)</f>
        <v>68490</v>
      </c>
      <c r="H8" s="61">
        <f>IFERROR(SUM('Data Sheet'!G20:G22,'Data Sheet'!G18)-1*'Data Sheet'!G19,0)</f>
        <v>84819</v>
      </c>
      <c r="I8" s="61">
        <f>IFERROR(SUM('Data Sheet'!H20:H22,'Data Sheet'!H18)-1*'Data Sheet'!H19,0)</f>
        <v>104880</v>
      </c>
      <c r="J8" s="61">
        <f>IFERROR(SUM('Data Sheet'!I20:I22,'Data Sheet'!I18)-1*'Data Sheet'!I19,0)</f>
        <v>110030</v>
      </c>
      <c r="K8" s="61">
        <f>IFERROR(SUM('Data Sheet'!J20:J22,'Data Sheet'!J18)-1*'Data Sheet'!J19,0)</f>
        <v>116585</v>
      </c>
      <c r="L8" s="61">
        <f>IFERROR(SUM('Data Sheet'!K20:K22,'Data Sheet'!K18)-1*'Data Sheet'!K19,0)</f>
        <v>128257</v>
      </c>
    </row>
    <row r="9" spans="1:13" x14ac:dyDescent="0.25">
      <c r="B9" s="100" t="s">
        <v>60</v>
      </c>
      <c r="C9" s="102">
        <f>(C8/C6)</f>
        <v>0.65137842415746738</v>
      </c>
      <c r="D9" s="102">
        <f t="shared" ref="D9:L9" si="1">(D8/D6)</f>
        <v>0.65787981055557132</v>
      </c>
      <c r="E9" s="102">
        <f t="shared" si="1"/>
        <v>0.67065013607499246</v>
      </c>
      <c r="F9" s="102">
        <f t="shared" si="1"/>
        <v>0.68520007489729162</v>
      </c>
      <c r="G9" s="102">
        <f t="shared" si="1"/>
        <v>0.68168245879448996</v>
      </c>
      <c r="H9" s="102">
        <f t="shared" si="1"/>
        <v>0.69728956519594543</v>
      </c>
      <c r="I9" s="102">
        <f t="shared" si="1"/>
        <v>0.71460205632056251</v>
      </c>
      <c r="J9" s="102">
        <f t="shared" si="1"/>
        <v>0.71601483698835167</v>
      </c>
      <c r="K9" s="102">
        <f t="shared" si="1"/>
        <v>0.71528928155101545</v>
      </c>
      <c r="L9" s="102">
        <f t="shared" si="1"/>
        <v>0.71792331374195351</v>
      </c>
    </row>
    <row r="10" spans="1:13" x14ac:dyDescent="0.25">
      <c r="B10" s="52" t="s">
        <v>61</v>
      </c>
      <c r="C10" s="19">
        <f>(C6-C8)</f>
        <v>23875</v>
      </c>
      <c r="D10" s="19">
        <f t="shared" ref="D10:L10" si="2">(D6-D8)</f>
        <v>24127</v>
      </c>
      <c r="E10" s="19">
        <f t="shared" si="2"/>
        <v>27229</v>
      </c>
      <c r="F10" s="19">
        <f t="shared" si="2"/>
        <v>28581</v>
      </c>
      <c r="G10" s="19">
        <f t="shared" si="2"/>
        <v>31982</v>
      </c>
      <c r="H10" s="19">
        <f t="shared" si="2"/>
        <v>36822</v>
      </c>
      <c r="I10" s="19">
        <f t="shared" si="2"/>
        <v>41887</v>
      </c>
      <c r="J10" s="19">
        <f t="shared" si="2"/>
        <v>43640</v>
      </c>
      <c r="K10" s="19">
        <f t="shared" si="2"/>
        <v>46405</v>
      </c>
      <c r="L10" s="19">
        <f t="shared" si="2"/>
        <v>50393</v>
      </c>
    </row>
    <row r="11" spans="1:13" x14ac:dyDescent="0.25">
      <c r="B11" s="100" t="s">
        <v>62</v>
      </c>
      <c r="C11" s="102">
        <f>C10/C6</f>
        <v>0.34862157584253256</v>
      </c>
      <c r="D11" s="102">
        <f t="shared" ref="D11:L11" si="3">D10/D6</f>
        <v>0.34212018944442868</v>
      </c>
      <c r="E11" s="102">
        <f t="shared" si="3"/>
        <v>0.32934986392500754</v>
      </c>
      <c r="F11" s="102">
        <f t="shared" si="3"/>
        <v>0.31479992510270843</v>
      </c>
      <c r="G11" s="102">
        <f t="shared" si="3"/>
        <v>0.31831754120550998</v>
      </c>
      <c r="H11" s="102">
        <f t="shared" si="3"/>
        <v>0.30271043480405457</v>
      </c>
      <c r="I11" s="102">
        <f t="shared" si="3"/>
        <v>0.28539794367943749</v>
      </c>
      <c r="J11" s="102">
        <f t="shared" si="3"/>
        <v>0.28398516301164833</v>
      </c>
      <c r="K11" s="102">
        <f t="shared" si="3"/>
        <v>0.2847107184489846</v>
      </c>
      <c r="L11" s="102">
        <f t="shared" si="3"/>
        <v>0.28207668625804644</v>
      </c>
    </row>
    <row r="12" spans="1:13" x14ac:dyDescent="0.25">
      <c r="B12" s="64" t="s">
        <v>63</v>
      </c>
      <c r="C12" s="61">
        <f>IFERROR(SUM('Data Sheet'!B23:B24),0)</f>
        <v>5271</v>
      </c>
      <c r="D12" s="61">
        <f>IFERROR(SUM('Data Sheet'!C23:C24),0)</f>
        <v>5305</v>
      </c>
      <c r="E12" s="61">
        <f>IFERROR(SUM('Data Sheet'!D23:D24),0)</f>
        <v>7059</v>
      </c>
      <c r="F12" s="61">
        <f>IFERROR(SUM('Data Sheet'!E23:E24),0)</f>
        <v>6314</v>
      </c>
      <c r="G12" s="61">
        <f>IFERROR(SUM('Data Sheet'!F23:F24),0)</f>
        <v>4093</v>
      </c>
      <c r="H12" s="61">
        <f>IFERROR(SUM('Data Sheet'!G23:G24),0)</f>
        <v>5331</v>
      </c>
      <c r="I12" s="61">
        <f>IFERROR(SUM('Data Sheet'!H23:H24),0)</f>
        <v>6757</v>
      </c>
      <c r="J12" s="61">
        <f>IFERROR(SUM('Data Sheet'!I23:I24),0)</f>
        <v>7215</v>
      </c>
      <c r="K12" s="61">
        <f>IFERROR(SUM('Data Sheet'!J23:J24),0)</f>
        <v>7169</v>
      </c>
      <c r="L12" s="61">
        <f>IFERROR(SUM('Data Sheet'!K23:K24),0)</f>
        <v>8113</v>
      </c>
    </row>
    <row r="13" spans="1:13" x14ac:dyDescent="0.25">
      <c r="B13" s="100" t="s">
        <v>64</v>
      </c>
      <c r="C13" s="102">
        <f>C12/C6</f>
        <v>7.6966882775538814E-2</v>
      </c>
      <c r="D13" s="102">
        <f t="shared" ref="D13:L13" si="4">D12/D6</f>
        <v>7.5224752559484978E-2</v>
      </c>
      <c r="E13" s="102">
        <f t="shared" si="4"/>
        <v>8.5382521923193233E-2</v>
      </c>
      <c r="F13" s="102">
        <f t="shared" si="4"/>
        <v>6.9544338095185648E-2</v>
      </c>
      <c r="G13" s="102">
        <f t="shared" si="4"/>
        <v>4.0737717971176049E-2</v>
      </c>
      <c r="H13" s="102">
        <f t="shared" si="4"/>
        <v>4.3825683774385282E-2</v>
      </c>
      <c r="I13" s="102">
        <f t="shared" si="4"/>
        <v>4.6038959711651804E-2</v>
      </c>
      <c r="J13" s="102">
        <f t="shared" si="4"/>
        <v>4.6951259191774584E-2</v>
      </c>
      <c r="K13" s="102">
        <f t="shared" si="4"/>
        <v>4.3984293514939564E-2</v>
      </c>
      <c r="L13" s="102">
        <f t="shared" si="4"/>
        <v>4.5412818359921635E-2</v>
      </c>
    </row>
    <row r="14" spans="1:13" x14ac:dyDescent="0.25">
      <c r="B14" s="52" t="s">
        <v>65</v>
      </c>
      <c r="C14" s="19">
        <f>C10-C12</f>
        <v>18604</v>
      </c>
      <c r="D14" s="19">
        <f t="shared" ref="D14:L14" si="5">D10-D12</f>
        <v>18822</v>
      </c>
      <c r="E14" s="19">
        <f t="shared" si="5"/>
        <v>20170</v>
      </c>
      <c r="F14" s="19">
        <f t="shared" si="5"/>
        <v>22267</v>
      </c>
      <c r="G14" s="19">
        <f t="shared" si="5"/>
        <v>27889</v>
      </c>
      <c r="H14" s="19">
        <f t="shared" si="5"/>
        <v>31491</v>
      </c>
      <c r="I14" s="19">
        <f t="shared" si="5"/>
        <v>35130</v>
      </c>
      <c r="J14" s="19">
        <f t="shared" si="5"/>
        <v>36425</v>
      </c>
      <c r="K14" s="19">
        <f t="shared" si="5"/>
        <v>39236</v>
      </c>
      <c r="L14" s="19">
        <f t="shared" si="5"/>
        <v>42280</v>
      </c>
    </row>
    <row r="15" spans="1:13" x14ac:dyDescent="0.25">
      <c r="B15" s="100" t="s">
        <v>66</v>
      </c>
      <c r="C15" s="102">
        <f>C14/C6</f>
        <v>0.27165469306699375</v>
      </c>
      <c r="D15" s="102">
        <f t="shared" ref="D15:L15" si="6">D14/D6</f>
        <v>0.26689543688494372</v>
      </c>
      <c r="E15" s="102">
        <f t="shared" si="6"/>
        <v>0.24396734200181433</v>
      </c>
      <c r="F15" s="102">
        <f t="shared" si="6"/>
        <v>0.24525558700752279</v>
      </c>
      <c r="G15" s="102">
        <f t="shared" si="6"/>
        <v>0.27757982323433394</v>
      </c>
      <c r="H15" s="102">
        <f t="shared" si="6"/>
        <v>0.25888475102966929</v>
      </c>
      <c r="I15" s="102">
        <f t="shared" si="6"/>
        <v>0.23935898396778568</v>
      </c>
      <c r="J15" s="102">
        <f t="shared" si="6"/>
        <v>0.23703390381987374</v>
      </c>
      <c r="K15" s="102">
        <f t="shared" si="6"/>
        <v>0.24072642493404503</v>
      </c>
      <c r="L15" s="102">
        <f t="shared" si="6"/>
        <v>0.23666386789812482</v>
      </c>
    </row>
    <row r="16" spans="1:13" x14ac:dyDescent="0.25">
      <c r="B16" s="64" t="s">
        <v>4</v>
      </c>
      <c r="C16" s="19">
        <f>IFERROR('Data Sheet'!B25,0)</f>
        <v>3050</v>
      </c>
      <c r="D16" s="19">
        <f>IFERROR('Data Sheet'!C25,0)</f>
        <v>3311</v>
      </c>
      <c r="E16" s="19">
        <f>IFERROR('Data Sheet'!D25,0)</f>
        <v>2882</v>
      </c>
      <c r="F16" s="19">
        <f>IFERROR('Data Sheet'!E25,0)</f>
        <v>2803</v>
      </c>
      <c r="G16" s="19">
        <f>IFERROR('Data Sheet'!F25,0)</f>
        <v>2201</v>
      </c>
      <c r="H16" s="19">
        <f>IFERROR('Data Sheet'!G25,0)</f>
        <v>2295</v>
      </c>
      <c r="I16" s="19">
        <f>IFERROR('Data Sheet'!H25,0)</f>
        <v>2701</v>
      </c>
      <c r="J16" s="19">
        <f>IFERROR('Data Sheet'!I25,0)</f>
        <v>4711</v>
      </c>
      <c r="K16" s="19">
        <f>IFERROR('Data Sheet'!J25,0)</f>
        <v>3600</v>
      </c>
      <c r="L16" s="19">
        <f>IFERROR('Data Sheet'!K25,0)</f>
        <v>3033</v>
      </c>
    </row>
    <row r="17" spans="2:12" x14ac:dyDescent="0.25">
      <c r="B17" s="103" t="s">
        <v>161</v>
      </c>
      <c r="C17" s="102">
        <f>C16/C6</f>
        <v>4.4535950002920391E-2</v>
      </c>
      <c r="D17" s="102">
        <f t="shared" ref="D17:L17" si="7">D16/D6</f>
        <v>4.6949887978219564E-2</v>
      </c>
      <c r="E17" s="102">
        <f t="shared" si="7"/>
        <v>3.4859389174478381E-2</v>
      </c>
      <c r="F17" s="102">
        <f t="shared" si="7"/>
        <v>3.0873104162306837E-2</v>
      </c>
      <c r="G17" s="102">
        <f t="shared" si="7"/>
        <v>2.1906600844016244E-2</v>
      </c>
      <c r="H17" s="102">
        <f t="shared" si="7"/>
        <v>1.886699385897847E-2</v>
      </c>
      <c r="I17" s="102">
        <f t="shared" si="7"/>
        <v>1.8403319547309682E-2</v>
      </c>
      <c r="J17" s="102">
        <f t="shared" si="7"/>
        <v>3.0656601809071388E-2</v>
      </c>
      <c r="K17" s="102">
        <f t="shared" si="7"/>
        <v>2.2087244616234125E-2</v>
      </c>
      <c r="L17" s="102">
        <f t="shared" si="7"/>
        <v>1.6977329974811082E-2</v>
      </c>
    </row>
    <row r="18" spans="2:12" x14ac:dyDescent="0.25">
      <c r="B18" s="64" t="s">
        <v>5</v>
      </c>
      <c r="C18" s="61">
        <f>IFERROR('Data Sheet'!B26,0)</f>
        <v>1703</v>
      </c>
      <c r="D18" s="61">
        <f>IFERROR('Data Sheet'!C26,0)</f>
        <v>1863</v>
      </c>
      <c r="E18" s="61">
        <f>IFERROR('Data Sheet'!D26,0)</f>
        <v>2011</v>
      </c>
      <c r="F18" s="61">
        <f>IFERROR('Data Sheet'!E26,0)</f>
        <v>2893</v>
      </c>
      <c r="G18" s="61">
        <f>IFERROR('Data Sheet'!F26,0)</f>
        <v>3267</v>
      </c>
      <c r="H18" s="61">
        <f>IFERROR('Data Sheet'!G26,0)</f>
        <v>3476</v>
      </c>
      <c r="I18" s="61">
        <f>IFERROR('Data Sheet'!H26,0)</f>
        <v>4225</v>
      </c>
      <c r="J18" s="61">
        <f>IFERROR('Data Sheet'!I26,0)</f>
        <v>4678</v>
      </c>
      <c r="K18" s="61">
        <f>IFERROR('Data Sheet'!J26,0)</f>
        <v>4812</v>
      </c>
      <c r="L18" s="61">
        <f>IFERROR('Data Sheet'!K26,0)</f>
        <v>4902</v>
      </c>
    </row>
    <row r="19" spans="2:12" x14ac:dyDescent="0.25">
      <c r="B19" s="100" t="s">
        <v>67</v>
      </c>
      <c r="C19" s="102">
        <f>C18/C6</f>
        <v>2.4867122247532271E-2</v>
      </c>
      <c r="D19" s="102">
        <f t="shared" ref="D19:L19" si="8">D18/D6</f>
        <v>2.6417288222115084E-2</v>
      </c>
      <c r="E19" s="102">
        <f t="shared" si="8"/>
        <v>2.4324160870879952E-2</v>
      </c>
      <c r="F19" s="102">
        <f t="shared" si="8"/>
        <v>3.1864391845006661E-2</v>
      </c>
      <c r="G19" s="102">
        <f t="shared" si="8"/>
        <v>3.2516522016084085E-2</v>
      </c>
      <c r="H19" s="102">
        <f t="shared" si="8"/>
        <v>2.8575891352422292E-2</v>
      </c>
      <c r="I19" s="102">
        <f t="shared" si="8"/>
        <v>2.8787125171189708E-2</v>
      </c>
      <c r="J19" s="102">
        <f t="shared" si="8"/>
        <v>3.0441855925034164E-2</v>
      </c>
      <c r="K19" s="102">
        <f t="shared" si="8"/>
        <v>2.9523283637032948E-2</v>
      </c>
      <c r="L19" s="102">
        <f t="shared" si="8"/>
        <v>2.7439126784214944E-2</v>
      </c>
    </row>
    <row r="20" spans="2:12" x14ac:dyDescent="0.25">
      <c r="B20" s="64" t="s">
        <v>6</v>
      </c>
      <c r="C20" s="61">
        <f>IFERROR('Data Sheet'!B27,0)</f>
        <v>0</v>
      </c>
      <c r="D20" s="61">
        <f>IFERROR('Data Sheet'!C27,0)</f>
        <v>0</v>
      </c>
      <c r="E20" s="61">
        <f>IFERROR('Data Sheet'!D27,0)</f>
        <v>0</v>
      </c>
      <c r="F20" s="61">
        <f>IFERROR('Data Sheet'!E27,0)</f>
        <v>170</v>
      </c>
      <c r="G20" s="61">
        <f>IFERROR('Data Sheet'!F27,0)</f>
        <v>195</v>
      </c>
      <c r="H20" s="61">
        <f>IFERROR('Data Sheet'!G27,0)</f>
        <v>200</v>
      </c>
      <c r="I20" s="61">
        <f>IFERROR('Data Sheet'!H27,0)</f>
        <v>284</v>
      </c>
      <c r="J20" s="61">
        <f>IFERROR('Data Sheet'!I27,0)</f>
        <v>470</v>
      </c>
      <c r="K20" s="61">
        <f>IFERROR('Data Sheet'!J27,0)</f>
        <v>416</v>
      </c>
      <c r="L20" s="61">
        <f>IFERROR('Data Sheet'!K27,0)</f>
        <v>416</v>
      </c>
    </row>
    <row r="21" spans="2:12" x14ac:dyDescent="0.25">
      <c r="B21" s="100" t="s">
        <v>68</v>
      </c>
      <c r="C21" s="102">
        <f>C20/C6</f>
        <v>0</v>
      </c>
      <c r="D21" s="102">
        <f t="shared" ref="D21:L21" si="9">D20/D6</f>
        <v>0</v>
      </c>
      <c r="E21" s="102">
        <f t="shared" si="9"/>
        <v>0</v>
      </c>
      <c r="F21" s="102">
        <f t="shared" si="9"/>
        <v>1.8724322895441179E-3</v>
      </c>
      <c r="G21" s="102">
        <f t="shared" si="9"/>
        <v>1.9408392387928975E-3</v>
      </c>
      <c r="H21" s="102">
        <f t="shared" si="9"/>
        <v>1.6441824713706726E-3</v>
      </c>
      <c r="I21" s="102">
        <f t="shared" si="9"/>
        <v>1.9350398931639945E-3</v>
      </c>
      <c r="J21" s="102">
        <f t="shared" si="9"/>
        <v>3.0585019847725646E-3</v>
      </c>
      <c r="K21" s="102">
        <f t="shared" si="9"/>
        <v>2.5523038223203877E-3</v>
      </c>
      <c r="L21" s="102">
        <f t="shared" si="9"/>
        <v>2.3285754268122026E-3</v>
      </c>
    </row>
    <row r="22" spans="2:12" x14ac:dyDescent="0.25">
      <c r="B22" s="52" t="s">
        <v>69</v>
      </c>
      <c r="C22" s="19">
        <f>C14+C16-(C18+C20)</f>
        <v>19951</v>
      </c>
      <c r="D22" s="19">
        <f t="shared" ref="D22:L22" si="10">D14+D16-(D18+D20)</f>
        <v>20270</v>
      </c>
      <c r="E22" s="19">
        <f t="shared" si="10"/>
        <v>21041</v>
      </c>
      <c r="F22" s="19">
        <f t="shared" si="10"/>
        <v>22007</v>
      </c>
      <c r="G22" s="19">
        <f t="shared" si="10"/>
        <v>26628</v>
      </c>
      <c r="H22" s="19">
        <f t="shared" si="10"/>
        <v>30110</v>
      </c>
      <c r="I22" s="19">
        <f t="shared" si="10"/>
        <v>33322</v>
      </c>
      <c r="J22" s="19">
        <f t="shared" si="10"/>
        <v>35988</v>
      </c>
      <c r="K22" s="19">
        <f t="shared" si="10"/>
        <v>37608</v>
      </c>
      <c r="L22" s="19">
        <f t="shared" si="10"/>
        <v>39995</v>
      </c>
    </row>
    <row r="23" spans="2:12" x14ac:dyDescent="0.25">
      <c r="B23" s="100" t="s">
        <v>70</v>
      </c>
      <c r="C23" s="102">
        <f>C22/C6</f>
        <v>0.29132352082238189</v>
      </c>
      <c r="D23" s="102">
        <f t="shared" ref="D23:L23" si="11">D22/D6</f>
        <v>0.28742803664104816</v>
      </c>
      <c r="E23" s="102">
        <f t="shared" si="11"/>
        <v>0.25450257030541273</v>
      </c>
      <c r="F23" s="102">
        <f t="shared" si="11"/>
        <v>0.24239186703527882</v>
      </c>
      <c r="G23" s="102">
        <f t="shared" si="11"/>
        <v>0.26502906282347322</v>
      </c>
      <c r="H23" s="102">
        <f t="shared" si="11"/>
        <v>0.24753167106485477</v>
      </c>
      <c r="I23" s="102">
        <f t="shared" si="11"/>
        <v>0.22704013845074164</v>
      </c>
      <c r="J23" s="102">
        <f t="shared" si="11"/>
        <v>0.2341901477191384</v>
      </c>
      <c r="K23" s="102">
        <f t="shared" si="11"/>
        <v>0.23073808209092583</v>
      </c>
      <c r="L23" s="102">
        <f t="shared" si="11"/>
        <v>0.22387349566190876</v>
      </c>
    </row>
    <row r="24" spans="2:12" x14ac:dyDescent="0.25">
      <c r="B24" s="64" t="s">
        <v>8</v>
      </c>
      <c r="C24" s="61">
        <f>IFERROR('Data Sheet'!B29,0)</f>
        <v>5598</v>
      </c>
      <c r="D24" s="61">
        <f>IFERROR('Data Sheet'!C29,0)</f>
        <v>4241</v>
      </c>
      <c r="E24" s="61">
        <f>IFERROR('Data Sheet'!D29,0)</f>
        <v>5631</v>
      </c>
      <c r="F24" s="61">
        <f>IFERROR('Data Sheet'!E29,0)</f>
        <v>5368</v>
      </c>
      <c r="G24" s="61">
        <f>IFERROR('Data Sheet'!F29,0)</f>
        <v>7205</v>
      </c>
      <c r="H24" s="61">
        <f>IFERROR('Data Sheet'!G29,0)</f>
        <v>7964</v>
      </c>
      <c r="I24" s="61">
        <f>IFERROR('Data Sheet'!H29,0)</f>
        <v>9214</v>
      </c>
      <c r="J24" s="61">
        <f>IFERROR('Data Sheet'!I29,0)</f>
        <v>9740</v>
      </c>
      <c r="K24" s="61">
        <f>IFERROR('Data Sheet'!J29,0)</f>
        <v>10858</v>
      </c>
      <c r="L24" s="61">
        <f>IFERROR('Data Sheet'!K29,0)</f>
        <v>10521</v>
      </c>
    </row>
    <row r="25" spans="2:12" x14ac:dyDescent="0.25">
      <c r="B25" s="100" t="s">
        <v>71</v>
      </c>
      <c r="C25" s="102">
        <f>C24/C22</f>
        <v>0.28058743922610396</v>
      </c>
      <c r="D25" s="102">
        <f t="shared" ref="D25:L25" si="12">D24/D22</f>
        <v>0.20922545633941786</v>
      </c>
      <c r="E25" s="102">
        <f t="shared" si="12"/>
        <v>0.26762036024903757</v>
      </c>
      <c r="F25" s="102">
        <f t="shared" si="12"/>
        <v>0.24392238833098559</v>
      </c>
      <c r="G25" s="102">
        <f t="shared" si="12"/>
        <v>0.27057984076911523</v>
      </c>
      <c r="H25" s="102">
        <f t="shared" si="12"/>
        <v>0.26449684490202591</v>
      </c>
      <c r="I25" s="102">
        <f t="shared" si="12"/>
        <v>0.27651401476502013</v>
      </c>
      <c r="J25" s="102">
        <f t="shared" si="12"/>
        <v>0.27064577081249308</v>
      </c>
      <c r="K25" s="102">
        <f t="shared" si="12"/>
        <v>0.28871516698574773</v>
      </c>
      <c r="L25" s="102">
        <f t="shared" si="12"/>
        <v>0.26305788223527943</v>
      </c>
    </row>
    <row r="26" spans="2:12" x14ac:dyDescent="0.25">
      <c r="B26" s="52" t="s">
        <v>72</v>
      </c>
      <c r="C26" s="19">
        <f>C22-C24</f>
        <v>14353</v>
      </c>
      <c r="D26" s="19">
        <f t="shared" ref="D26:L26" si="13">D22-D24</f>
        <v>16029</v>
      </c>
      <c r="E26" s="19">
        <f t="shared" si="13"/>
        <v>15410</v>
      </c>
      <c r="F26" s="19">
        <f t="shared" si="13"/>
        <v>16639</v>
      </c>
      <c r="G26" s="19">
        <f t="shared" si="13"/>
        <v>19423</v>
      </c>
      <c r="H26" s="19">
        <f t="shared" si="13"/>
        <v>22146</v>
      </c>
      <c r="I26" s="19">
        <f t="shared" si="13"/>
        <v>24108</v>
      </c>
      <c r="J26" s="19">
        <f t="shared" si="13"/>
        <v>26248</v>
      </c>
      <c r="K26" s="19">
        <f t="shared" si="13"/>
        <v>26750</v>
      </c>
      <c r="L26" s="19">
        <f t="shared" si="13"/>
        <v>29474</v>
      </c>
    </row>
    <row r="27" spans="2:12" x14ac:dyDescent="0.25">
      <c r="B27" s="100" t="s">
        <v>73</v>
      </c>
      <c r="C27" s="102">
        <f>C26/C6</f>
        <v>0.20958180012849717</v>
      </c>
      <c r="D27" s="102">
        <f t="shared" ref="D27:L27" si="14">D26/D6</f>
        <v>0.22729077451008195</v>
      </c>
      <c r="E27" s="102">
        <f t="shared" si="14"/>
        <v>0.18639250075597219</v>
      </c>
      <c r="F27" s="102">
        <f t="shared" si="14"/>
        <v>0.18326706391602693</v>
      </c>
      <c r="G27" s="102">
        <f t="shared" si="14"/>
        <v>0.19331754120550998</v>
      </c>
      <c r="H27" s="102">
        <f t="shared" si="14"/>
        <v>0.1820603250548746</v>
      </c>
      <c r="I27" s="102">
        <f t="shared" si="14"/>
        <v>0.16426035825492105</v>
      </c>
      <c r="J27" s="102">
        <f t="shared" si="14"/>
        <v>0.17080757467300059</v>
      </c>
      <c r="K27" s="102">
        <f t="shared" si="14"/>
        <v>0.16412049819007302</v>
      </c>
      <c r="L27" s="102">
        <f t="shared" si="14"/>
        <v>0.16498180800447804</v>
      </c>
    </row>
    <row r="28" spans="2:12" x14ac:dyDescent="0.25"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</row>
    <row r="29" spans="2:12" x14ac:dyDescent="0.25">
      <c r="B29" s="64" t="s">
        <v>38</v>
      </c>
      <c r="C29" s="64">
        <f>IFERROR('Data Sheet'!B93,0)</f>
        <v>459.39</v>
      </c>
      <c r="D29" s="64">
        <f>IFERROR('Data Sheet'!C93,0)</f>
        <v>436.82</v>
      </c>
      <c r="E29" s="64">
        <f>IFERROR('Data Sheet'!D93,0)</f>
        <v>436.89</v>
      </c>
      <c r="F29" s="64">
        <f>IFERROR('Data Sheet'!E93,0)</f>
        <v>425.9</v>
      </c>
      <c r="G29" s="64">
        <f>IFERROR('Data Sheet'!F93,0)</f>
        <v>426.07</v>
      </c>
      <c r="H29" s="64">
        <f>IFERROR('Data Sheet'!G93,0)</f>
        <v>420.67</v>
      </c>
      <c r="I29" s="64">
        <f>IFERROR('Data Sheet'!H93,0)</f>
        <v>414.86</v>
      </c>
      <c r="J29" s="64">
        <f>IFERROR('Data Sheet'!I93,0)</f>
        <v>415.09</v>
      </c>
      <c r="K29" s="64">
        <f>IFERROR('Data Sheet'!J93,0)</f>
        <v>415.33</v>
      </c>
      <c r="L29" s="64">
        <f>IFERROR('Data Sheet'!K93,0)</f>
        <v>405.56</v>
      </c>
    </row>
    <row r="30" spans="2:12" x14ac:dyDescent="0.25"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</row>
    <row r="31" spans="2:12" x14ac:dyDescent="0.25">
      <c r="B31" s="64" t="s">
        <v>74</v>
      </c>
      <c r="C31" s="61">
        <f>C26/C29</f>
        <v>31.243605650971944</v>
      </c>
      <c r="D31" s="61">
        <f t="shared" ref="D31:L31" si="15">D26/D29</f>
        <v>36.694748408955633</v>
      </c>
      <c r="E31" s="61">
        <f t="shared" si="15"/>
        <v>35.272036439378333</v>
      </c>
      <c r="F31" s="61">
        <f t="shared" si="15"/>
        <v>39.067856304296782</v>
      </c>
      <c r="G31" s="61">
        <f t="shared" si="15"/>
        <v>45.586405989626115</v>
      </c>
      <c r="H31" s="61">
        <f t="shared" si="15"/>
        <v>52.644590771863932</v>
      </c>
      <c r="I31" s="61">
        <f t="shared" si="15"/>
        <v>58.11117003326423</v>
      </c>
      <c r="J31" s="61">
        <f t="shared" si="15"/>
        <v>63.234479269556005</v>
      </c>
      <c r="K31" s="61">
        <f t="shared" si="15"/>
        <v>64.406616425492984</v>
      </c>
      <c r="L31" s="61">
        <f t="shared" si="15"/>
        <v>72.674820001972577</v>
      </c>
    </row>
    <row r="32" spans="2:12" x14ac:dyDescent="0.25">
      <c r="B32" s="102" t="s">
        <v>76</v>
      </c>
      <c r="C32" s="102"/>
      <c r="D32" s="102">
        <f>IFERROR(C31/D31,0)</f>
        <v>0.85144624246413159</v>
      </c>
      <c r="E32" s="102">
        <f t="shared" ref="E32:L32" si="16">IFERROR(D31/E31,0)</f>
        <v>1.0403354076825844</v>
      </c>
      <c r="F32" s="102">
        <f t="shared" si="16"/>
        <v>0.90284033412652398</v>
      </c>
      <c r="G32" s="102">
        <f t="shared" si="16"/>
        <v>0.85700672066991357</v>
      </c>
      <c r="H32" s="102">
        <f t="shared" si="16"/>
        <v>0.86592763513302706</v>
      </c>
      <c r="I32" s="102">
        <f t="shared" si="16"/>
        <v>0.90592894174612049</v>
      </c>
      <c r="J32" s="102">
        <f t="shared" si="16"/>
        <v>0.91897918199891981</v>
      </c>
      <c r="K32" s="102">
        <f t="shared" si="16"/>
        <v>0.98180098224391377</v>
      </c>
      <c r="L32" s="102">
        <f t="shared" si="16"/>
        <v>0.88623014716437998</v>
      </c>
    </row>
    <row r="33" spans="1:12" x14ac:dyDescent="0.25">
      <c r="B33" s="64" t="s">
        <v>75</v>
      </c>
      <c r="C33" s="61">
        <f>IFERROR('Data Sheet'!B31/'Historical FS'!C29,0)</f>
        <v>12.824832930625396</v>
      </c>
      <c r="D33" s="61">
        <f>IFERROR('Data Sheet'!C31/'Historical FS'!D29,0)</f>
        <v>21.669337484547412</v>
      </c>
      <c r="E33" s="61">
        <f>IFERROR('Data Sheet'!D31/'Historical FS'!E29,0)</f>
        <v>21.109432580283368</v>
      </c>
      <c r="F33" s="61">
        <f>IFERROR('Data Sheet'!E31/'Historical FS'!F29,0)</f>
        <v>17.438365813571263</v>
      </c>
      <c r="G33" s="61">
        <f>IFERROR('Data Sheet'!F31/'Historical FS'!G29,0)</f>
        <v>26.919520266622857</v>
      </c>
      <c r="H33" s="61">
        <f>IFERROR('Data Sheet'!G31/'Historical FS'!H29,0)</f>
        <v>30.921149594694178</v>
      </c>
      <c r="I33" s="61">
        <f>IFERROR('Data Sheet'!H31/'Historical FS'!I29,0)</f>
        <v>33.913127320059779</v>
      </c>
      <c r="J33" s="61">
        <f>IFERROR('Data Sheet'!I31/'Historical FS'!J29,0)</f>
        <v>45.901370787058234</v>
      </c>
      <c r="K33" s="61">
        <f>IFERROR('Data Sheet'!J31/'Historical FS'!K29,0)</f>
        <v>42.924421544314157</v>
      </c>
      <c r="L33" s="61">
        <f>IFERROR('Data Sheet'!K31/'Historical FS'!L29,0)</f>
        <v>47.910050300818625</v>
      </c>
    </row>
    <row r="34" spans="1:12" x14ac:dyDescent="0.25">
      <c r="B34" s="102" t="s">
        <v>77</v>
      </c>
      <c r="C34" s="102">
        <f>IFERROR(C33/C31,0)</f>
        <v>0.4104786455793214</v>
      </c>
      <c r="D34" s="102">
        <f t="shared" ref="D34:L34" si="17">IFERROR(D33/D31,0)</f>
        <v>0.59052966498221982</v>
      </c>
      <c r="E34" s="102">
        <f t="shared" si="17"/>
        <v>0.59847501622323174</v>
      </c>
      <c r="F34" s="102">
        <f t="shared" si="17"/>
        <v>0.44636095919225921</v>
      </c>
      <c r="G34" s="102">
        <f t="shared" si="17"/>
        <v>0.59051639808474499</v>
      </c>
      <c r="H34" s="102">
        <f t="shared" si="17"/>
        <v>0.58735663325205456</v>
      </c>
      <c r="I34" s="102">
        <f t="shared" si="17"/>
        <v>0.58359050937448154</v>
      </c>
      <c r="J34" s="102">
        <f t="shared" si="17"/>
        <v>0.72589149649497109</v>
      </c>
      <c r="K34" s="102">
        <f t="shared" si="17"/>
        <v>0.66645981308411206</v>
      </c>
      <c r="L34" s="102">
        <f t="shared" si="17"/>
        <v>0.65923865101445356</v>
      </c>
    </row>
    <row r="35" spans="1:12" x14ac:dyDescent="0.25">
      <c r="B35" s="64" t="s">
        <v>78</v>
      </c>
      <c r="C35" s="99">
        <f>IFERROR(IF(C31&gt;C33,1-C34,0),0)</f>
        <v>0.58952135442067854</v>
      </c>
      <c r="D35" s="99">
        <f t="shared" ref="D35:L35" si="18">IFERROR(IF(D31&gt;D33,1-D34,0),0)</f>
        <v>0.40947033501778018</v>
      </c>
      <c r="E35" s="99">
        <f t="shared" si="18"/>
        <v>0.40152498377676826</v>
      </c>
      <c r="F35" s="99">
        <f t="shared" si="18"/>
        <v>0.55363904080774073</v>
      </c>
      <c r="G35" s="99">
        <f t="shared" si="18"/>
        <v>0.40948360191525501</v>
      </c>
      <c r="H35" s="99">
        <f t="shared" si="18"/>
        <v>0.41264336674794544</v>
      </c>
      <c r="I35" s="99">
        <f t="shared" si="18"/>
        <v>0.41640949062551846</v>
      </c>
      <c r="J35" s="99">
        <f t="shared" si="18"/>
        <v>0.27410850350502891</v>
      </c>
      <c r="K35" s="99">
        <f t="shared" si="18"/>
        <v>0.33354018691588794</v>
      </c>
      <c r="L35" s="99">
        <f t="shared" si="18"/>
        <v>0.34076134898554644</v>
      </c>
    </row>
    <row r="38" spans="1:12" x14ac:dyDescent="0.25">
      <c r="A38" t="s">
        <v>55</v>
      </c>
      <c r="B38" s="15" t="s">
        <v>79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2" x14ac:dyDescent="0.25">
      <c r="B39" s="64" t="s">
        <v>10</v>
      </c>
      <c r="C39" s="61">
        <f>IFERROR('Data Sheet'!B57,0)</f>
        <v>1144</v>
      </c>
      <c r="D39" s="61">
        <f>IFERROR('Data Sheet'!C57,0)</f>
        <v>1088</v>
      </c>
      <c r="E39" s="61">
        <f>IFERROR('Data Sheet'!D57,0)</f>
        <v>2170</v>
      </c>
      <c r="F39" s="61">
        <f>IFERROR('Data Sheet'!E57,0)</f>
        <v>2122</v>
      </c>
      <c r="G39" s="61">
        <f>IFERROR('Data Sheet'!F57,0)</f>
        <v>2124</v>
      </c>
      <c r="H39" s="61">
        <f>IFERROR('Data Sheet'!G57,0)</f>
        <v>2098</v>
      </c>
      <c r="I39" s="61">
        <f>IFERROR('Data Sheet'!H57,0)</f>
        <v>2069</v>
      </c>
      <c r="J39" s="61">
        <f>IFERROR('Data Sheet'!I57,0)</f>
        <v>2071</v>
      </c>
      <c r="K39" s="61">
        <f>IFERROR('Data Sheet'!J57,0)</f>
        <v>2073</v>
      </c>
      <c r="L39" s="61">
        <f>IFERROR('Data Sheet'!K57,0)</f>
        <v>2024</v>
      </c>
    </row>
    <row r="40" spans="1:12" x14ac:dyDescent="0.25">
      <c r="B40" s="64" t="s">
        <v>11</v>
      </c>
      <c r="C40" s="61">
        <f>IFERROR('Data Sheet'!B58,0)</f>
        <v>67838</v>
      </c>
      <c r="D40" s="61">
        <f>IFERROR('Data Sheet'!C58,0)</f>
        <v>63835</v>
      </c>
      <c r="E40" s="61">
        <f>IFERROR('Data Sheet'!D58,0)</f>
        <v>62778</v>
      </c>
      <c r="F40" s="61">
        <f>IFERROR('Data Sheet'!E58,0)</f>
        <v>63328</v>
      </c>
      <c r="G40" s="61">
        <f>IFERROR('Data Sheet'!F58,0)</f>
        <v>74227</v>
      </c>
      <c r="H40" s="61">
        <f>IFERROR('Data Sheet'!G58,0)</f>
        <v>73252</v>
      </c>
      <c r="I40" s="61">
        <f>IFERROR('Data Sheet'!H58,0)</f>
        <v>73338</v>
      </c>
      <c r="J40" s="61">
        <f>IFERROR('Data Sheet'!I58,0)</f>
        <v>86045</v>
      </c>
      <c r="K40" s="61">
        <f>IFERROR('Data Sheet'!J58,0)</f>
        <v>93745</v>
      </c>
      <c r="L40" s="61">
        <f>IFERROR('Data Sheet'!K58,0)</f>
        <v>90828</v>
      </c>
    </row>
    <row r="41" spans="1:12" x14ac:dyDescent="0.25">
      <c r="B41" s="64" t="s">
        <v>35</v>
      </c>
      <c r="C41" s="61">
        <f>IFERROR('Data Sheet'!B59,0)</f>
        <v>0</v>
      </c>
      <c r="D41" s="61">
        <f>IFERROR('Data Sheet'!C59,0)</f>
        <v>0</v>
      </c>
      <c r="E41" s="61">
        <f>IFERROR('Data Sheet'!D59,0)</f>
        <v>0</v>
      </c>
      <c r="F41" s="61">
        <f>IFERROR('Data Sheet'!E59,0)</f>
        <v>4633</v>
      </c>
      <c r="G41" s="61">
        <f>IFERROR('Data Sheet'!F59,0)</f>
        <v>5325</v>
      </c>
      <c r="H41" s="61">
        <f>IFERROR('Data Sheet'!G59,0)</f>
        <v>5474</v>
      </c>
      <c r="I41" s="61">
        <f>IFERROR('Data Sheet'!H59,0)</f>
        <v>8299</v>
      </c>
      <c r="J41" s="61">
        <f>IFERROR('Data Sheet'!I59,0)</f>
        <v>8359</v>
      </c>
      <c r="K41" s="61">
        <f>IFERROR('Data Sheet'!J59,0)</f>
        <v>8227</v>
      </c>
      <c r="L41" s="61">
        <f>IFERROR('Data Sheet'!K59,0)</f>
        <v>9176</v>
      </c>
    </row>
    <row r="42" spans="1:12" x14ac:dyDescent="0.25">
      <c r="B42" s="64" t="s">
        <v>36</v>
      </c>
      <c r="C42" s="61">
        <f>IFERROR('Data Sheet'!B60,0)</f>
        <v>14166</v>
      </c>
      <c r="D42" s="61">
        <f>IFERROR('Data Sheet'!C60,0)</f>
        <v>14426</v>
      </c>
      <c r="E42" s="61">
        <f>IFERROR('Data Sheet'!D60,0)</f>
        <v>19118</v>
      </c>
      <c r="F42" s="61">
        <f>IFERROR('Data Sheet'!E60,0)</f>
        <v>21717</v>
      </c>
      <c r="G42" s="61">
        <f>IFERROR('Data Sheet'!F60,0)</f>
        <v>25835</v>
      </c>
      <c r="H42" s="61">
        <f>IFERROR('Data Sheet'!G60,0)</f>
        <v>35905</v>
      </c>
      <c r="I42" s="61">
        <f>IFERROR('Data Sheet'!H60,0)</f>
        <v>40890</v>
      </c>
      <c r="J42" s="61">
        <f>IFERROR('Data Sheet'!I60,0)</f>
        <v>39545</v>
      </c>
      <c r="K42" s="61">
        <f>IFERROR('Data Sheet'!J60,0)</f>
        <v>43750</v>
      </c>
      <c r="L42" s="61">
        <f>IFERROR('Data Sheet'!K60,0)</f>
        <v>52260</v>
      </c>
    </row>
    <row r="43" spans="1:12" x14ac:dyDescent="0.25">
      <c r="B43" s="52" t="s">
        <v>80</v>
      </c>
      <c r="C43" s="19">
        <f>IFERROR('Data Sheet'!B61,0)</f>
        <v>83148</v>
      </c>
      <c r="D43" s="19">
        <f>IFERROR('Data Sheet'!C61,0)</f>
        <v>79349</v>
      </c>
      <c r="E43" s="19">
        <f>IFERROR('Data Sheet'!D61,0)</f>
        <v>84066</v>
      </c>
      <c r="F43" s="19">
        <f>IFERROR('Data Sheet'!E61,0)</f>
        <v>91800</v>
      </c>
      <c r="G43" s="19">
        <f>IFERROR('Data Sheet'!F61,0)</f>
        <v>107511</v>
      </c>
      <c r="H43" s="19">
        <f>IFERROR('Data Sheet'!G61,0)</f>
        <v>116729</v>
      </c>
      <c r="I43" s="19">
        <f>IFERROR('Data Sheet'!H61,0)</f>
        <v>124596</v>
      </c>
      <c r="J43" s="19">
        <f>IFERROR('Data Sheet'!I61,0)</f>
        <v>136020</v>
      </c>
      <c r="K43" s="19">
        <f>IFERROR('Data Sheet'!J61,0)</f>
        <v>147795</v>
      </c>
      <c r="L43" s="19">
        <f>IFERROR('Data Sheet'!K61,0)</f>
        <v>154288</v>
      </c>
    </row>
    <row r="44" spans="1:12" x14ac:dyDescent="0.25"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</row>
    <row r="45" spans="1:12" x14ac:dyDescent="0.25">
      <c r="B45" s="64" t="s">
        <v>81</v>
      </c>
      <c r="C45" s="61">
        <f>IFERROR('Data Sheet'!B62,0)</f>
        <v>14179</v>
      </c>
      <c r="D45" s="61">
        <f>IFERROR('Data Sheet'!C62,0)</f>
        <v>12574</v>
      </c>
      <c r="E45" s="61">
        <f>IFERROR('Data Sheet'!D62,0)</f>
        <v>15710</v>
      </c>
      <c r="F45" s="61">
        <f>IFERROR('Data Sheet'!E62,0)</f>
        <v>23789</v>
      </c>
      <c r="G45" s="61">
        <f>IFERROR('Data Sheet'!F62,0)</f>
        <v>25505</v>
      </c>
      <c r="H45" s="61">
        <f>IFERROR('Data Sheet'!G62,0)</f>
        <v>25800</v>
      </c>
      <c r="I45" s="61">
        <f>IFERROR('Data Sheet'!H62,0)</f>
        <v>29225</v>
      </c>
      <c r="J45" s="61">
        <f>IFERROR('Data Sheet'!I62,0)</f>
        <v>27622</v>
      </c>
      <c r="K45" s="61">
        <f>IFERROR('Data Sheet'!J62,0)</f>
        <v>30961</v>
      </c>
      <c r="L45" s="61">
        <f>IFERROR('Data Sheet'!K62,0)</f>
        <v>33770</v>
      </c>
    </row>
    <row r="46" spans="1:12" x14ac:dyDescent="0.25">
      <c r="B46" s="64" t="s">
        <v>14</v>
      </c>
      <c r="C46" s="61">
        <f>IFERROR('Data Sheet'!B63,0)</f>
        <v>1365</v>
      </c>
      <c r="D46" s="61">
        <f>IFERROR('Data Sheet'!C63,0)</f>
        <v>1606</v>
      </c>
      <c r="E46" s="61">
        <f>IFERROR('Data Sheet'!D63,0)</f>
        <v>1388</v>
      </c>
      <c r="F46" s="61">
        <f>IFERROR('Data Sheet'!E63,0)</f>
        <v>954</v>
      </c>
      <c r="G46" s="61">
        <f>IFERROR('Data Sheet'!F63,0)</f>
        <v>922</v>
      </c>
      <c r="H46" s="61">
        <f>IFERROR('Data Sheet'!G63,0)</f>
        <v>416</v>
      </c>
      <c r="I46" s="61">
        <f>IFERROR('Data Sheet'!H63,0)</f>
        <v>288</v>
      </c>
      <c r="J46" s="61">
        <f>IFERROR('Data Sheet'!I63,0)</f>
        <v>293</v>
      </c>
      <c r="K46" s="61">
        <f>IFERROR('Data Sheet'!J63,0)</f>
        <v>814</v>
      </c>
      <c r="L46" s="61">
        <f>IFERROR('Data Sheet'!K63,0)</f>
        <v>526</v>
      </c>
    </row>
    <row r="47" spans="1:12" x14ac:dyDescent="0.25">
      <c r="B47" s="64" t="s">
        <v>15</v>
      </c>
      <c r="C47" s="61">
        <f>IFERROR('Data Sheet'!B64,0)</f>
        <v>16423</v>
      </c>
      <c r="D47" s="61">
        <f>IFERROR('Data Sheet'!C64,0)</f>
        <v>12163</v>
      </c>
      <c r="E47" s="61">
        <f>IFERROR('Data Sheet'!D64,0)</f>
        <v>11261</v>
      </c>
      <c r="F47" s="61">
        <f>IFERROR('Data Sheet'!E64,0)</f>
        <v>8792</v>
      </c>
      <c r="G47" s="61">
        <f>IFERROR('Data Sheet'!F64,0)</f>
        <v>14205</v>
      </c>
      <c r="H47" s="61">
        <f>IFERROR('Data Sheet'!G64,0)</f>
        <v>20324</v>
      </c>
      <c r="I47" s="61">
        <f>IFERROR('Data Sheet'!H64,0)</f>
        <v>19478</v>
      </c>
      <c r="J47" s="61">
        <f>IFERROR('Data Sheet'!I64,0)</f>
        <v>24623</v>
      </c>
      <c r="K47" s="61">
        <f>IFERROR('Data Sheet'!J64,0)</f>
        <v>23541</v>
      </c>
      <c r="L47" s="61">
        <f>IFERROR('Data Sheet'!K64,0)</f>
        <v>21880</v>
      </c>
    </row>
    <row r="48" spans="1:12" x14ac:dyDescent="0.25">
      <c r="B48" s="64" t="s">
        <v>37</v>
      </c>
      <c r="C48" s="61">
        <f>IFERROR('Data Sheet'!B65-SUM('Data Sheet'!B67:B69,0),0)</f>
        <v>16234</v>
      </c>
      <c r="D48" s="61">
        <f>IFERROR('Data Sheet'!C65-SUM('Data Sheet'!C67:C69,0),0)</f>
        <v>20046</v>
      </c>
      <c r="E48" s="61">
        <f>IFERROR('Data Sheet'!D65-SUM('Data Sheet'!D67:D69,0),0)</f>
        <v>21312</v>
      </c>
      <c r="F48" s="61">
        <f>IFERROR('Data Sheet'!E65-SUM('Data Sheet'!E67:E69,0),0)</f>
        <v>21129</v>
      </c>
      <c r="G48" s="61">
        <f>IFERROR('Data Sheet'!F65-SUM('Data Sheet'!F67:F69,0),0)</f>
        <v>22871</v>
      </c>
      <c r="H48" s="61">
        <f>IFERROR('Data Sheet'!G65-SUM('Data Sheet'!G67:G69,0),0)</f>
        <v>30019</v>
      </c>
      <c r="I48" s="61">
        <f>IFERROR('Data Sheet'!H65-SUM('Data Sheet'!H67:H69,0),0)</f>
        <v>38008</v>
      </c>
      <c r="J48" s="61">
        <f>IFERROR('Data Sheet'!I65-SUM('Data Sheet'!I67:I69,0),0)</f>
        <v>38503</v>
      </c>
      <c r="K48" s="61">
        <f>IFERROR('Data Sheet'!J65-SUM('Data Sheet'!J67:J69,0),0)</f>
        <v>36866</v>
      </c>
      <c r="L48" s="61">
        <f>IFERROR('Data Sheet'!K65-SUM('Data Sheet'!K67:K69,0),0)</f>
        <v>40677</v>
      </c>
    </row>
    <row r="49" spans="1:12" x14ac:dyDescent="0.25">
      <c r="B49" s="52" t="s">
        <v>252</v>
      </c>
      <c r="C49" s="19">
        <f>SUM(C45:C48)</f>
        <v>48201</v>
      </c>
      <c r="D49" s="19">
        <f t="shared" ref="D49:L49" si="19">SUM(D45:D48)</f>
        <v>46389</v>
      </c>
      <c r="E49" s="19">
        <f t="shared" si="19"/>
        <v>49671</v>
      </c>
      <c r="F49" s="19">
        <f t="shared" si="19"/>
        <v>54664</v>
      </c>
      <c r="G49" s="19">
        <f t="shared" si="19"/>
        <v>63503</v>
      </c>
      <c r="H49" s="19">
        <f t="shared" si="19"/>
        <v>76559</v>
      </c>
      <c r="I49" s="19">
        <f t="shared" si="19"/>
        <v>86999</v>
      </c>
      <c r="J49" s="19">
        <f t="shared" si="19"/>
        <v>91041</v>
      </c>
      <c r="K49" s="19">
        <f t="shared" si="19"/>
        <v>92182</v>
      </c>
      <c r="L49" s="19">
        <f t="shared" si="19"/>
        <v>96853</v>
      </c>
    </row>
    <row r="50" spans="1:12" x14ac:dyDescent="0.25"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</row>
    <row r="51" spans="1:12" x14ac:dyDescent="0.25">
      <c r="B51" s="64" t="s">
        <v>42</v>
      </c>
      <c r="C51" s="61">
        <f>IFERROR('Data Sheet'!B67,0)</f>
        <v>12322</v>
      </c>
      <c r="D51" s="61">
        <f>IFERROR('Data Sheet'!C67,0)</f>
        <v>13142</v>
      </c>
      <c r="E51" s="61">
        <f>IFERROR('Data Sheet'!D67,0)</f>
        <v>14827</v>
      </c>
      <c r="F51" s="61">
        <f>IFERROR('Data Sheet'!E67,0)</f>
        <v>18487</v>
      </c>
      <c r="G51" s="61">
        <f>IFERROR('Data Sheet'!F67,0)</f>
        <v>19294</v>
      </c>
      <c r="H51" s="61">
        <f>IFERROR('Data Sheet'!G67,0)</f>
        <v>22698</v>
      </c>
      <c r="I51" s="61">
        <f>IFERROR('Data Sheet'!H67,0)</f>
        <v>25424</v>
      </c>
      <c r="J51" s="61">
        <f>IFERROR('Data Sheet'!I67,0)</f>
        <v>30193</v>
      </c>
      <c r="K51" s="61">
        <f>IFERROR('Data Sheet'!J67,0)</f>
        <v>31158</v>
      </c>
      <c r="L51" s="61">
        <f>IFERROR('Data Sheet'!K67,0)</f>
        <v>35234</v>
      </c>
    </row>
    <row r="52" spans="1:12" x14ac:dyDescent="0.25">
      <c r="B52" s="64" t="s">
        <v>29</v>
      </c>
      <c r="C52" s="61">
        <f>IFERROR('Data Sheet'!B68,0)</f>
        <v>0</v>
      </c>
      <c r="D52" s="61">
        <f>IFERROR('Data Sheet'!C68,0)</f>
        <v>0</v>
      </c>
      <c r="E52" s="61">
        <f>IFERROR('Data Sheet'!D68,0)</f>
        <v>0</v>
      </c>
      <c r="F52" s="61">
        <f>IFERROR('Data Sheet'!E68,0)</f>
        <v>0</v>
      </c>
      <c r="G52" s="61">
        <f>IFERROR('Data Sheet'!F68,0)</f>
        <v>0</v>
      </c>
      <c r="H52" s="61">
        <f>IFERROR('Data Sheet'!G68,0)</f>
        <v>0</v>
      </c>
      <c r="I52" s="61">
        <f>IFERROR('Data Sheet'!H68,0)</f>
        <v>0</v>
      </c>
      <c r="J52" s="61">
        <f>IFERROR('Data Sheet'!I68,0)</f>
        <v>0</v>
      </c>
      <c r="K52" s="61">
        <f>IFERROR('Data Sheet'!J68,0)</f>
        <v>0</v>
      </c>
      <c r="L52" s="61">
        <f>IFERROR('Data Sheet'!K68,0)</f>
        <v>0</v>
      </c>
    </row>
    <row r="53" spans="1:12" x14ac:dyDescent="0.25">
      <c r="B53" s="64" t="s">
        <v>51</v>
      </c>
      <c r="C53" s="61">
        <f>IFERROR('Data Sheet'!B69,0)</f>
        <v>22625</v>
      </c>
      <c r="D53" s="61">
        <f>IFERROR('Data Sheet'!C69,0)</f>
        <v>19818</v>
      </c>
      <c r="E53" s="61">
        <f>IFERROR('Data Sheet'!D69,0)</f>
        <v>19568</v>
      </c>
      <c r="F53" s="61">
        <f>IFERROR('Data Sheet'!E69,0)</f>
        <v>18649</v>
      </c>
      <c r="G53" s="61">
        <f>IFERROR('Data Sheet'!F69,0)</f>
        <v>24714</v>
      </c>
      <c r="H53" s="61">
        <f>IFERROR('Data Sheet'!G69,0)</f>
        <v>17472</v>
      </c>
      <c r="I53" s="61">
        <f>IFERROR('Data Sheet'!H69,0)</f>
        <v>12173</v>
      </c>
      <c r="J53" s="61">
        <f>IFERROR('Data Sheet'!I69,0)</f>
        <v>14786</v>
      </c>
      <c r="K53" s="61">
        <f>IFERROR('Data Sheet'!J69,0)</f>
        <v>24455</v>
      </c>
      <c r="L53" s="61">
        <f>IFERROR('Data Sheet'!K69,0)</f>
        <v>22201</v>
      </c>
    </row>
    <row r="54" spans="1:12" x14ac:dyDescent="0.25">
      <c r="B54" s="52" t="s">
        <v>165</v>
      </c>
      <c r="C54" s="19">
        <f>SUM(C51:C53)</f>
        <v>34947</v>
      </c>
      <c r="D54" s="19">
        <f t="shared" ref="D54:L54" si="20">SUM(D51:D53)</f>
        <v>32960</v>
      </c>
      <c r="E54" s="19">
        <f t="shared" si="20"/>
        <v>34395</v>
      </c>
      <c r="F54" s="19">
        <f t="shared" si="20"/>
        <v>37136</v>
      </c>
      <c r="G54" s="19">
        <f t="shared" si="20"/>
        <v>44008</v>
      </c>
      <c r="H54" s="19">
        <f t="shared" si="20"/>
        <v>40170</v>
      </c>
      <c r="I54" s="19">
        <f t="shared" si="20"/>
        <v>37597</v>
      </c>
      <c r="J54" s="19">
        <f t="shared" si="20"/>
        <v>44979</v>
      </c>
      <c r="K54" s="19">
        <f t="shared" si="20"/>
        <v>55613</v>
      </c>
      <c r="L54" s="19">
        <f t="shared" si="20"/>
        <v>57435</v>
      </c>
    </row>
    <row r="55" spans="1:12" x14ac:dyDescent="0.25"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</row>
    <row r="56" spans="1:12" x14ac:dyDescent="0.25">
      <c r="B56" s="52" t="s">
        <v>163</v>
      </c>
      <c r="C56" s="19">
        <f>SUM(C49,C54)</f>
        <v>83148</v>
      </c>
      <c r="D56" s="19">
        <f t="shared" ref="D56:L56" si="21">SUM(D49,D54)</f>
        <v>79349</v>
      </c>
      <c r="E56" s="19">
        <f t="shared" si="21"/>
        <v>84066</v>
      </c>
      <c r="F56" s="19">
        <f t="shared" si="21"/>
        <v>91800</v>
      </c>
      <c r="G56" s="19">
        <f t="shared" si="21"/>
        <v>107511</v>
      </c>
      <c r="H56" s="19">
        <f t="shared" si="21"/>
        <v>116729</v>
      </c>
      <c r="I56" s="19">
        <f t="shared" si="21"/>
        <v>124596</v>
      </c>
      <c r="J56" s="19">
        <f t="shared" si="21"/>
        <v>136020</v>
      </c>
      <c r="K56" s="19">
        <f t="shared" si="21"/>
        <v>147795</v>
      </c>
      <c r="L56" s="19">
        <f t="shared" si="21"/>
        <v>154288</v>
      </c>
    </row>
    <row r="57" spans="1:12" x14ac:dyDescent="0.25">
      <c r="B57" s="52" t="s">
        <v>83</v>
      </c>
      <c r="C57" s="64" t="b">
        <f>IF(C56=C43,TRUE,FALSE)</f>
        <v>1</v>
      </c>
      <c r="D57" s="64" t="b">
        <f t="shared" ref="D57:L57" si="22">IF(D56=D43,TRUE,FALSE)</f>
        <v>1</v>
      </c>
      <c r="E57" s="64" t="b">
        <f t="shared" si="22"/>
        <v>1</v>
      </c>
      <c r="F57" s="64" t="b">
        <f t="shared" si="22"/>
        <v>1</v>
      </c>
      <c r="G57" s="64" t="b">
        <f t="shared" si="22"/>
        <v>1</v>
      </c>
      <c r="H57" s="64" t="b">
        <f t="shared" si="22"/>
        <v>1</v>
      </c>
      <c r="I57" s="64" t="b">
        <f t="shared" si="22"/>
        <v>1</v>
      </c>
      <c r="J57" s="64" t="b">
        <f t="shared" si="22"/>
        <v>1</v>
      </c>
      <c r="K57" s="64" t="b">
        <f t="shared" si="22"/>
        <v>1</v>
      </c>
      <c r="L57" s="64" t="b">
        <f t="shared" si="22"/>
        <v>1</v>
      </c>
    </row>
    <row r="59" spans="1:12" x14ac:dyDescent="0.25">
      <c r="A59" t="s">
        <v>55</v>
      </c>
      <c r="B59" s="16" t="s">
        <v>82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</row>
    <row r="60" spans="1:12" x14ac:dyDescent="0.25">
      <c r="B60" s="17"/>
    </row>
    <row r="61" spans="1:12" x14ac:dyDescent="0.25">
      <c r="C61" s="14"/>
      <c r="D61" s="14"/>
      <c r="E61" s="14"/>
      <c r="F61" s="14"/>
      <c r="G61" s="14"/>
      <c r="H61" s="14"/>
      <c r="I61" s="14"/>
      <c r="J61" s="14"/>
      <c r="K61" s="14"/>
      <c r="L61" s="14"/>
    </row>
    <row r="62" spans="1:12" x14ac:dyDescent="0.25">
      <c r="B62" s="64" t="s">
        <v>17</v>
      </c>
      <c r="C62" s="61">
        <f>IFERROR('Data Sheet'!B82,0)</f>
        <v>11531</v>
      </c>
      <c r="D62" s="61">
        <f>IFERROR('Data Sheet'!C82,0)</f>
        <v>13218</v>
      </c>
      <c r="E62" s="61">
        <f>IFERROR('Data Sheet'!D82,0)</f>
        <v>14841</v>
      </c>
      <c r="F62" s="61">
        <f>IFERROR('Data Sheet'!E82,0)</f>
        <v>17003</v>
      </c>
      <c r="G62" s="61">
        <f>IFERROR('Data Sheet'!F82,0)</f>
        <v>23224</v>
      </c>
      <c r="H62" s="61">
        <f>IFERROR('Data Sheet'!G82,0)</f>
        <v>23885</v>
      </c>
      <c r="I62" s="61">
        <f>IFERROR('Data Sheet'!H82,0)</f>
        <v>22467</v>
      </c>
      <c r="J62" s="61">
        <f>IFERROR('Data Sheet'!I82,0)</f>
        <v>25210</v>
      </c>
      <c r="K62" s="61">
        <f>IFERROR('Data Sheet'!J82,0)</f>
        <v>35694</v>
      </c>
      <c r="L62" s="61">
        <f>IFERROR('Data Sheet'!K82,0)</f>
        <v>33986</v>
      </c>
    </row>
    <row r="63" spans="1:12" x14ac:dyDescent="0.25">
      <c r="B63" s="64" t="s">
        <v>18</v>
      </c>
      <c r="C63" s="61">
        <f>IFERROR('Data Sheet'!B83,0)</f>
        <v>-14664</v>
      </c>
      <c r="D63" s="61">
        <f>IFERROR('Data Sheet'!C83,0)</f>
        <v>4533</v>
      </c>
      <c r="E63" s="61">
        <f>IFERROR('Data Sheet'!D83,0)</f>
        <v>-632</v>
      </c>
      <c r="F63" s="61">
        <f>IFERROR('Data Sheet'!E83,0)</f>
        <v>-331</v>
      </c>
      <c r="G63" s="61">
        <f>IFERROR('Data Sheet'!F83,0)</f>
        <v>-7373</v>
      </c>
      <c r="H63" s="61">
        <f>IFERROR('Data Sheet'!G83,0)</f>
        <v>-6485</v>
      </c>
      <c r="I63" s="61">
        <f>IFERROR('Data Sheet'!H83,0)</f>
        <v>-1071</v>
      </c>
      <c r="J63" s="61">
        <f>IFERROR('Data Sheet'!I83,0)</f>
        <v>-5093</v>
      </c>
      <c r="K63" s="61">
        <f>IFERROR('Data Sheet'!J83,0)</f>
        <v>-1864</v>
      </c>
      <c r="L63" s="61">
        <f>IFERROR('Data Sheet'!K83,0)</f>
        <v>3546</v>
      </c>
    </row>
    <row r="64" spans="1:12" x14ac:dyDescent="0.25">
      <c r="B64" s="64" t="s">
        <v>19</v>
      </c>
      <c r="C64" s="61">
        <f>IFERROR('Data Sheet'!B84,0)</f>
        <v>-6939</v>
      </c>
      <c r="D64" s="61">
        <f>IFERROR('Data Sheet'!C84,0)</f>
        <v>-20505</v>
      </c>
      <c r="E64" s="61">
        <f>IFERROR('Data Sheet'!D84,0)</f>
        <v>-14512</v>
      </c>
      <c r="F64" s="61">
        <f>IFERROR('Data Sheet'!E84,0)</f>
        <v>-17591</v>
      </c>
      <c r="G64" s="61">
        <f>IFERROR('Data Sheet'!F84,0)</f>
        <v>-9786</v>
      </c>
      <c r="H64" s="61">
        <f>IFERROR('Data Sheet'!G84,0)</f>
        <v>-24642</v>
      </c>
      <c r="I64" s="61">
        <f>IFERROR('Data Sheet'!H84,0)</f>
        <v>-26695</v>
      </c>
      <c r="J64" s="61">
        <f>IFERROR('Data Sheet'!I84,0)</f>
        <v>-17504</v>
      </c>
      <c r="K64" s="61">
        <f>IFERROR('Data Sheet'!J84,0)</f>
        <v>-24161</v>
      </c>
      <c r="L64" s="61">
        <f>IFERROR('Data Sheet'!K84,0)</f>
        <v>-39786</v>
      </c>
    </row>
    <row r="65" spans="2:12" x14ac:dyDescent="0.25"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</row>
    <row r="66" spans="2:12" x14ac:dyDescent="0.25">
      <c r="B66" s="52" t="s">
        <v>20</v>
      </c>
      <c r="C66" s="19">
        <f>IFERROR('Data Sheet'!B85,0)</f>
        <v>-10072</v>
      </c>
      <c r="D66" s="19">
        <f>IFERROR('Data Sheet'!C85,0)</f>
        <v>-2754</v>
      </c>
      <c r="E66" s="19">
        <f>IFERROR('Data Sheet'!D85,0)</f>
        <v>-303</v>
      </c>
      <c r="F66" s="19">
        <f>IFERROR('Data Sheet'!E85,0)</f>
        <v>-919</v>
      </c>
      <c r="G66" s="19">
        <f>IFERROR('Data Sheet'!F85,0)</f>
        <v>6065</v>
      </c>
      <c r="H66" s="19">
        <f>IFERROR('Data Sheet'!G85,0)</f>
        <v>-7242</v>
      </c>
      <c r="I66" s="19">
        <f>IFERROR('Data Sheet'!H85,0)</f>
        <v>-5299</v>
      </c>
      <c r="J66" s="19">
        <f>IFERROR('Data Sheet'!I85,0)</f>
        <v>2613</v>
      </c>
      <c r="K66" s="19">
        <f>IFERROR('Data Sheet'!J85,0)</f>
        <v>9669</v>
      </c>
      <c r="L66" s="19">
        <f>IFERROR('Data Sheet'!K85,0)</f>
        <v>-2254</v>
      </c>
    </row>
    <row r="67" spans="2:12" x14ac:dyDescent="0.25">
      <c r="C67" s="14"/>
      <c r="D67" s="14"/>
      <c r="E67" s="14"/>
      <c r="F67" s="14"/>
      <c r="G67" s="14"/>
      <c r="H67" s="14"/>
      <c r="I67" s="14"/>
      <c r="J67" s="14"/>
      <c r="K67" s="14"/>
      <c r="L67" s="14"/>
    </row>
    <row r="68" spans="2:12" x14ac:dyDescent="0.25">
      <c r="B68" s="20" t="s">
        <v>84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</row>
    <row r="69" spans="2:12" x14ac:dyDescent="0.25">
      <c r="C69" s="14"/>
      <c r="D69" s="14"/>
      <c r="E69" s="14"/>
      <c r="F69" s="14"/>
      <c r="G69" s="14"/>
      <c r="H69" s="14"/>
      <c r="I69" s="14"/>
      <c r="J69" s="14"/>
      <c r="K69" s="14"/>
      <c r="L69" s="14"/>
    </row>
    <row r="70" spans="2:12" x14ac:dyDescent="0.25">
      <c r="B70" s="17"/>
      <c r="C70" s="18"/>
      <c r="D70" s="18"/>
      <c r="E70" s="18"/>
      <c r="F70" s="18"/>
      <c r="G70" s="18"/>
      <c r="H70" s="18"/>
      <c r="I70" s="18"/>
      <c r="J70" s="18"/>
      <c r="K70" s="18"/>
      <c r="L70" s="18"/>
    </row>
    <row r="72" spans="2:12" x14ac:dyDescent="0.25">
      <c r="B72" s="17"/>
    </row>
    <row r="73" spans="2:12" x14ac:dyDescent="0.25">
      <c r="C73" s="14"/>
      <c r="D73" s="14"/>
      <c r="E73" s="14"/>
      <c r="F73" s="14"/>
      <c r="G73" s="14"/>
      <c r="H73" s="14"/>
      <c r="I73" s="14"/>
      <c r="J73" s="14"/>
      <c r="K73" s="14"/>
      <c r="L73" s="14"/>
    </row>
    <row r="74" spans="2:12" x14ac:dyDescent="0.25">
      <c r="C74" s="14"/>
      <c r="D74" s="14"/>
      <c r="E74" s="14"/>
      <c r="F74" s="14"/>
      <c r="G74" s="14"/>
      <c r="H74" s="14"/>
      <c r="I74" s="14"/>
      <c r="J74" s="14"/>
      <c r="K74" s="14"/>
      <c r="L74" s="14"/>
    </row>
    <row r="75" spans="2:12" x14ac:dyDescent="0.25">
      <c r="C75" s="14"/>
      <c r="D75" s="14"/>
      <c r="E75" s="14"/>
      <c r="F75" s="14"/>
      <c r="G75" s="14"/>
      <c r="H75" s="14"/>
      <c r="I75" s="14"/>
      <c r="J75" s="14"/>
      <c r="K75" s="14"/>
      <c r="L75" s="14"/>
    </row>
    <row r="76" spans="2:12" x14ac:dyDescent="0.25">
      <c r="C76" s="14"/>
      <c r="D76" s="14"/>
      <c r="E76" s="14"/>
      <c r="F76" s="14"/>
      <c r="G76" s="14"/>
      <c r="H76" s="14"/>
      <c r="I76" s="14"/>
      <c r="J76" s="14"/>
      <c r="K76" s="14"/>
      <c r="L76" s="14"/>
    </row>
    <row r="77" spans="2:12" x14ac:dyDescent="0.25">
      <c r="C77" s="14"/>
      <c r="D77" s="14"/>
      <c r="E77" s="14"/>
      <c r="F77" s="14"/>
      <c r="G77" s="14"/>
      <c r="H77" s="14"/>
      <c r="I77" s="14"/>
      <c r="J77" s="14"/>
      <c r="K77" s="14"/>
      <c r="L77" s="14"/>
    </row>
    <row r="78" spans="2:12" x14ac:dyDescent="0.25">
      <c r="C78" s="14"/>
      <c r="D78" s="14"/>
      <c r="E78" s="14"/>
      <c r="F78" s="14"/>
      <c r="G78" s="14"/>
      <c r="H78" s="14"/>
      <c r="I78" s="14"/>
      <c r="J78" s="14"/>
      <c r="K78" s="14"/>
      <c r="L78" s="14"/>
    </row>
    <row r="79" spans="2:12" x14ac:dyDescent="0.25">
      <c r="C79" s="14"/>
      <c r="D79" s="14"/>
      <c r="E79" s="14"/>
      <c r="F79" s="14"/>
      <c r="G79" s="14"/>
      <c r="H79" s="14"/>
      <c r="I79" s="14"/>
      <c r="J79" s="14"/>
      <c r="K79" s="14"/>
      <c r="L79" s="14"/>
    </row>
    <row r="80" spans="2:12" x14ac:dyDescent="0.25">
      <c r="C80" s="14"/>
      <c r="D80" s="14"/>
      <c r="E80" s="14"/>
      <c r="F80" s="14"/>
      <c r="G80" s="14"/>
      <c r="H80" s="14"/>
      <c r="I80" s="14"/>
      <c r="J80" s="14"/>
      <c r="K80" s="14"/>
      <c r="L80" s="14"/>
    </row>
    <row r="81" spans="2:12" x14ac:dyDescent="0.25">
      <c r="B81" s="17"/>
      <c r="C81" s="18"/>
      <c r="D81" s="18"/>
      <c r="E81" s="18"/>
      <c r="F81" s="18"/>
      <c r="G81" s="18"/>
      <c r="H81" s="18"/>
      <c r="I81" s="18"/>
      <c r="J81" s="18"/>
      <c r="K81" s="18"/>
      <c r="L81" s="18"/>
    </row>
    <row r="83" spans="2:12" x14ac:dyDescent="0.25">
      <c r="B83" s="17"/>
    </row>
    <row r="84" spans="2:12" x14ac:dyDescent="0.25">
      <c r="C84" s="14"/>
      <c r="D84" s="14"/>
      <c r="E84" s="14"/>
      <c r="F84" s="14"/>
      <c r="G84" s="14"/>
      <c r="H84" s="14"/>
      <c r="I84" s="14"/>
      <c r="J84" s="14"/>
      <c r="K84" s="14"/>
      <c r="L84" s="14"/>
    </row>
    <row r="85" spans="2:12" x14ac:dyDescent="0.25"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spans="2:12" x14ac:dyDescent="0.25">
      <c r="C86" s="14"/>
      <c r="D86" s="14"/>
      <c r="E86" s="14"/>
      <c r="F86" s="14"/>
      <c r="G86" s="14"/>
      <c r="H86" s="14"/>
      <c r="I86" s="14"/>
      <c r="J86" s="14"/>
      <c r="K86" s="14"/>
      <c r="L86" s="14"/>
    </row>
    <row r="87" spans="2:12" x14ac:dyDescent="0.25">
      <c r="C87" s="14"/>
      <c r="D87" s="14"/>
      <c r="E87" s="14"/>
      <c r="F87" s="14"/>
      <c r="G87" s="14"/>
      <c r="H87" s="14"/>
      <c r="I87" s="14"/>
      <c r="J87" s="14"/>
      <c r="K87" s="14"/>
      <c r="L87" s="14"/>
    </row>
    <row r="88" spans="2:12" x14ac:dyDescent="0.25">
      <c r="C88" s="14"/>
      <c r="D88" s="14"/>
      <c r="E88" s="14"/>
      <c r="F88" s="14"/>
      <c r="G88" s="14"/>
      <c r="H88" s="14"/>
      <c r="I88" s="14"/>
      <c r="J88" s="14"/>
      <c r="K88" s="14"/>
      <c r="L88" s="14"/>
    </row>
    <row r="89" spans="2:12" x14ac:dyDescent="0.25">
      <c r="C89" s="14"/>
      <c r="D89" s="14"/>
      <c r="E89" s="14"/>
      <c r="F89" s="14"/>
      <c r="G89" s="14"/>
      <c r="H89" s="14"/>
      <c r="I89" s="14"/>
      <c r="J89" s="14"/>
      <c r="K89" s="14"/>
      <c r="L89" s="14"/>
    </row>
    <row r="90" spans="2:12" x14ac:dyDescent="0.25">
      <c r="C90" s="14"/>
      <c r="D90" s="14"/>
      <c r="E90" s="14"/>
      <c r="F90" s="14"/>
      <c r="G90" s="14"/>
      <c r="H90" s="14"/>
      <c r="I90" s="14"/>
      <c r="J90" s="14"/>
      <c r="K90" s="14"/>
      <c r="L90" s="14"/>
    </row>
    <row r="91" spans="2:12" x14ac:dyDescent="0.25">
      <c r="C91" s="14"/>
      <c r="D91" s="14"/>
      <c r="E91" s="14"/>
      <c r="F91" s="14"/>
      <c r="G91" s="14"/>
      <c r="H91" s="14"/>
      <c r="I91" s="14"/>
      <c r="J91" s="14"/>
      <c r="K91" s="14"/>
      <c r="L91" s="14"/>
    </row>
    <row r="92" spans="2:12" x14ac:dyDescent="0.25">
      <c r="C92" s="14"/>
      <c r="D92" s="14"/>
      <c r="E92" s="14"/>
      <c r="F92" s="14"/>
      <c r="G92" s="14"/>
      <c r="H92" s="14"/>
      <c r="I92" s="14"/>
      <c r="J92" s="14"/>
      <c r="K92" s="14"/>
      <c r="L92" s="14"/>
    </row>
    <row r="93" spans="2:12" x14ac:dyDescent="0.25">
      <c r="B93" s="17"/>
      <c r="C93" s="18"/>
      <c r="D93" s="18"/>
      <c r="E93" s="18"/>
      <c r="F93" s="18"/>
      <c r="G93" s="18"/>
      <c r="H93" s="18"/>
      <c r="I93" s="18"/>
      <c r="J93" s="18"/>
      <c r="K93" s="18"/>
      <c r="L93" s="18"/>
    </row>
    <row r="95" spans="2:12" x14ac:dyDescent="0.25">
      <c r="B95" s="17"/>
      <c r="C95" s="18"/>
      <c r="D95" s="18"/>
      <c r="E95" s="18"/>
      <c r="F95" s="18"/>
      <c r="G95" s="18"/>
      <c r="H95" s="18"/>
      <c r="I95" s="18"/>
      <c r="J95" s="18"/>
      <c r="K95" s="18"/>
      <c r="L95" s="18"/>
    </row>
    <row r="101" spans="9:9" x14ac:dyDescent="0.25">
      <c r="I101" s="12"/>
    </row>
  </sheetData>
  <sheetProtection sheet="1" objects="1" scenarios="1"/>
  <mergeCells count="1">
    <mergeCell ref="B2:L2"/>
  </mergeCells>
  <pageMargins left="0.25" right="0.25" top="0.75" bottom="0.75" header="0.3" footer="0.3"/>
  <pageSetup scale="59" fitToHeight="0" orientation="portrait" r:id="rId1"/>
  <ignoredErrors>
    <ignoredError sqref="C12:L12 C8:L8" formulaRange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B20" sqref="B20"/>
    </sheetView>
  </sheetViews>
  <sheetFormatPr defaultColWidth="8.85546875" defaultRowHeight="15" x14ac:dyDescent="0.25"/>
  <cols>
    <col min="1" max="1" width="27.7109375" style="2" bestFit="1" customWidth="1"/>
    <col min="2" max="11" width="13.42578125" style="2" bestFit="1" customWidth="1"/>
    <col min="12" max="16384" width="8.85546875" style="2"/>
  </cols>
  <sheetData>
    <row r="1" spans="1:11" s="1" customFormat="1" x14ac:dyDescent="0.25">
      <c r="A1" s="1" t="s">
        <v>0</v>
      </c>
      <c r="B1" s="1" t="s">
        <v>32</v>
      </c>
      <c r="E1" s="133" t="str">
        <f>IF(B2&lt;&gt;B3, "A NEW VERSION OF THE WORKSHEET IS AVAILABLE", "")</f>
        <v/>
      </c>
      <c r="F1" s="133"/>
      <c r="G1" s="133"/>
      <c r="H1" s="133"/>
      <c r="I1" s="133"/>
      <c r="J1" s="133"/>
      <c r="K1" s="133"/>
    </row>
    <row r="2" spans="1:11" x14ac:dyDescent="0.25">
      <c r="A2" s="1" t="s">
        <v>30</v>
      </c>
      <c r="B2" s="2">
        <v>2.1</v>
      </c>
      <c r="E2" s="134" t="s">
        <v>21</v>
      </c>
      <c r="F2" s="134"/>
      <c r="G2" s="134"/>
      <c r="H2" s="134"/>
      <c r="I2" s="134"/>
      <c r="J2" s="134"/>
      <c r="K2" s="134"/>
    </row>
    <row r="3" spans="1:11" x14ac:dyDescent="0.25">
      <c r="A3" s="1" t="s">
        <v>31</v>
      </c>
      <c r="B3" s="2">
        <v>2.1</v>
      </c>
    </row>
    <row r="4" spans="1:11" x14ac:dyDescent="0.25">
      <c r="A4" s="1"/>
    </row>
    <row r="5" spans="1:11" x14ac:dyDescent="0.25">
      <c r="A5" s="1" t="s">
        <v>33</v>
      </c>
    </row>
    <row r="6" spans="1:11" x14ac:dyDescent="0.25">
      <c r="A6" s="2" t="s">
        <v>27</v>
      </c>
      <c r="B6" s="2">
        <f>IF(B9&gt;0, B9/B8, 0)</f>
        <v>405.80564870438445</v>
      </c>
    </row>
    <row r="7" spans="1:11" x14ac:dyDescent="0.25">
      <c r="A7" s="2" t="s">
        <v>16</v>
      </c>
      <c r="B7">
        <v>5</v>
      </c>
    </row>
    <row r="8" spans="1:11" x14ac:dyDescent="0.25">
      <c r="A8" s="2" t="s">
        <v>28</v>
      </c>
      <c r="B8">
        <v>1115.3</v>
      </c>
    </row>
    <row r="9" spans="1:11" x14ac:dyDescent="0.25">
      <c r="A9" s="2" t="s">
        <v>43</v>
      </c>
      <c r="B9">
        <v>452595.04</v>
      </c>
    </row>
    <row r="15" spans="1:11" x14ac:dyDescent="0.25">
      <c r="A15" s="1" t="s">
        <v>22</v>
      </c>
    </row>
    <row r="16" spans="1:11" s="6" customFormat="1" x14ac:dyDescent="0.25">
      <c r="A16" s="5" t="s">
        <v>23</v>
      </c>
      <c r="B16" s="4">
        <v>42825</v>
      </c>
      <c r="C16" s="4">
        <v>43190</v>
      </c>
      <c r="D16" s="4">
        <v>43555</v>
      </c>
      <c r="E16" s="4">
        <v>43921</v>
      </c>
      <c r="F16" s="4">
        <v>44286</v>
      </c>
      <c r="G16" s="4">
        <v>44651</v>
      </c>
      <c r="H16" s="4">
        <v>45016</v>
      </c>
      <c r="I16" s="4">
        <v>45382</v>
      </c>
      <c r="J16" s="4">
        <v>45747</v>
      </c>
      <c r="K16" s="4">
        <v>46112</v>
      </c>
    </row>
    <row r="17" spans="1:11" s="3" customFormat="1" x14ac:dyDescent="0.25">
      <c r="A17" s="3" t="s">
        <v>1</v>
      </c>
      <c r="B17">
        <v>68484</v>
      </c>
      <c r="C17">
        <v>70522</v>
      </c>
      <c r="D17">
        <v>82675</v>
      </c>
      <c r="E17">
        <v>90791</v>
      </c>
      <c r="F17">
        <v>100472</v>
      </c>
      <c r="G17">
        <v>121641</v>
      </c>
      <c r="H17">
        <v>146767</v>
      </c>
      <c r="I17">
        <v>153670</v>
      </c>
      <c r="J17">
        <v>162990</v>
      </c>
      <c r="K17">
        <v>178650</v>
      </c>
    </row>
    <row r="18" spans="1:11" s="3" customFormat="1" x14ac:dyDescent="0.25">
      <c r="A18" s="2" t="s">
        <v>44</v>
      </c>
      <c r="B18"/>
      <c r="C18"/>
      <c r="D18"/>
      <c r="E18"/>
      <c r="F18"/>
      <c r="G18"/>
      <c r="H18"/>
      <c r="I18"/>
      <c r="J18"/>
      <c r="K18"/>
    </row>
    <row r="19" spans="1:11" s="3" customFormat="1" x14ac:dyDescent="0.25">
      <c r="A19" s="2" t="s">
        <v>45</v>
      </c>
      <c r="B19"/>
      <c r="C19"/>
      <c r="D19"/>
      <c r="E19"/>
      <c r="F19"/>
      <c r="G19"/>
      <c r="H19"/>
      <c r="I19"/>
      <c r="J19"/>
      <c r="K19"/>
    </row>
    <row r="20" spans="1:11" s="3" customFormat="1" x14ac:dyDescent="0.25">
      <c r="A20" s="2" t="s">
        <v>46</v>
      </c>
      <c r="B20">
        <v>228</v>
      </c>
      <c r="C20">
        <v>207</v>
      </c>
      <c r="D20">
        <v>221</v>
      </c>
      <c r="E20">
        <v>229</v>
      </c>
      <c r="F20">
        <v>143</v>
      </c>
      <c r="G20">
        <v>132</v>
      </c>
      <c r="H20">
        <v>176</v>
      </c>
      <c r="I20">
        <v>199</v>
      </c>
      <c r="J20">
        <v>222</v>
      </c>
      <c r="K20">
        <v>223</v>
      </c>
    </row>
    <row r="21" spans="1:11" s="3" customFormat="1" x14ac:dyDescent="0.25">
      <c r="A21" s="2" t="s">
        <v>47</v>
      </c>
      <c r="B21">
        <v>6712</v>
      </c>
      <c r="C21">
        <v>7286</v>
      </c>
      <c r="D21">
        <v>9902</v>
      </c>
      <c r="E21">
        <v>11086</v>
      </c>
      <c r="F21">
        <v>12800</v>
      </c>
      <c r="G21">
        <v>20690</v>
      </c>
      <c r="H21">
        <v>26330</v>
      </c>
      <c r="I21">
        <v>27195</v>
      </c>
      <c r="J21">
        <v>30395</v>
      </c>
      <c r="K21">
        <v>32922</v>
      </c>
    </row>
    <row r="22" spans="1:11" s="3" customFormat="1" x14ac:dyDescent="0.25">
      <c r="A22" s="2" t="s">
        <v>48</v>
      </c>
      <c r="B22">
        <v>37669</v>
      </c>
      <c r="C22">
        <v>38902</v>
      </c>
      <c r="D22">
        <v>45323</v>
      </c>
      <c r="E22">
        <v>50895</v>
      </c>
      <c r="F22">
        <v>55547</v>
      </c>
      <c r="G22">
        <v>63997</v>
      </c>
      <c r="H22">
        <v>78374</v>
      </c>
      <c r="I22">
        <v>82636</v>
      </c>
      <c r="J22">
        <v>85968</v>
      </c>
      <c r="K22">
        <v>95112</v>
      </c>
    </row>
    <row r="23" spans="1:11" s="3" customFormat="1" x14ac:dyDescent="0.25">
      <c r="A23" s="2" t="s">
        <v>49</v>
      </c>
      <c r="B23">
        <v>4584</v>
      </c>
      <c r="C23">
        <v>4585</v>
      </c>
      <c r="D23">
        <v>5553</v>
      </c>
      <c r="E23">
        <v>5375</v>
      </c>
      <c r="F23">
        <v>3194</v>
      </c>
      <c r="G23">
        <v>4305</v>
      </c>
      <c r="H23">
        <v>5300</v>
      </c>
      <c r="I23">
        <v>5705</v>
      </c>
      <c r="J23">
        <v>6039</v>
      </c>
      <c r="K23">
        <v>6784</v>
      </c>
    </row>
    <row r="24" spans="1:11" s="3" customFormat="1" x14ac:dyDescent="0.25">
      <c r="A24" s="2" t="s">
        <v>50</v>
      </c>
      <c r="B24">
        <v>687</v>
      </c>
      <c r="C24">
        <v>720</v>
      </c>
      <c r="D24">
        <v>1506</v>
      </c>
      <c r="E24">
        <v>939</v>
      </c>
      <c r="F24">
        <v>899</v>
      </c>
      <c r="G24">
        <v>1026</v>
      </c>
      <c r="H24">
        <v>1457</v>
      </c>
      <c r="I24">
        <v>1510</v>
      </c>
      <c r="J24">
        <v>1130</v>
      </c>
      <c r="K24">
        <v>1329</v>
      </c>
    </row>
    <row r="25" spans="1:11" s="3" customFormat="1" x14ac:dyDescent="0.25">
      <c r="A25" s="3" t="s">
        <v>4</v>
      </c>
      <c r="B25">
        <v>3050</v>
      </c>
      <c r="C25">
        <v>3311</v>
      </c>
      <c r="D25">
        <v>2882</v>
      </c>
      <c r="E25">
        <v>2803</v>
      </c>
      <c r="F25">
        <v>2201</v>
      </c>
      <c r="G25">
        <v>2295</v>
      </c>
      <c r="H25">
        <v>2701</v>
      </c>
      <c r="I25">
        <v>4711</v>
      </c>
      <c r="J25">
        <v>3600</v>
      </c>
      <c r="K25">
        <v>3033</v>
      </c>
    </row>
    <row r="26" spans="1:11" s="3" customFormat="1" x14ac:dyDescent="0.25">
      <c r="A26" s="3" t="s">
        <v>5</v>
      </c>
      <c r="B26">
        <v>1703</v>
      </c>
      <c r="C26">
        <v>1863</v>
      </c>
      <c r="D26">
        <v>2011</v>
      </c>
      <c r="E26">
        <v>2893</v>
      </c>
      <c r="F26">
        <v>3267</v>
      </c>
      <c r="G26">
        <v>3476</v>
      </c>
      <c r="H26">
        <v>4225</v>
      </c>
      <c r="I26">
        <v>4678</v>
      </c>
      <c r="J26">
        <v>4812</v>
      </c>
      <c r="K26">
        <v>4902</v>
      </c>
    </row>
    <row r="27" spans="1:11" s="3" customFormat="1" x14ac:dyDescent="0.25">
      <c r="A27" s="3" t="s">
        <v>6</v>
      </c>
      <c r="B27"/>
      <c r="C27"/>
      <c r="D27"/>
      <c r="E27">
        <v>170</v>
      </c>
      <c r="F27">
        <v>195</v>
      </c>
      <c r="G27">
        <v>200</v>
      </c>
      <c r="H27">
        <v>284</v>
      </c>
      <c r="I27">
        <v>470</v>
      </c>
      <c r="J27">
        <v>416</v>
      </c>
      <c r="K27">
        <v>416</v>
      </c>
    </row>
    <row r="28" spans="1:11" s="3" customFormat="1" x14ac:dyDescent="0.25">
      <c r="A28" s="3" t="s">
        <v>7</v>
      </c>
      <c r="B28">
        <v>19951</v>
      </c>
      <c r="C28">
        <v>20270</v>
      </c>
      <c r="D28">
        <v>21041</v>
      </c>
      <c r="E28">
        <v>22007</v>
      </c>
      <c r="F28">
        <v>26628</v>
      </c>
      <c r="G28">
        <v>30110</v>
      </c>
      <c r="H28">
        <v>33322</v>
      </c>
      <c r="I28">
        <v>35988</v>
      </c>
      <c r="J28">
        <v>37608</v>
      </c>
      <c r="K28">
        <v>39995</v>
      </c>
    </row>
    <row r="29" spans="1:11" s="3" customFormat="1" x14ac:dyDescent="0.25">
      <c r="A29" s="3" t="s">
        <v>8</v>
      </c>
      <c r="B29">
        <v>5598</v>
      </c>
      <c r="C29">
        <v>4241</v>
      </c>
      <c r="D29">
        <v>5631</v>
      </c>
      <c r="E29">
        <v>5368</v>
      </c>
      <c r="F29">
        <v>7205</v>
      </c>
      <c r="G29">
        <v>7964</v>
      </c>
      <c r="H29">
        <v>9214</v>
      </c>
      <c r="I29">
        <v>9740</v>
      </c>
      <c r="J29">
        <v>10858</v>
      </c>
      <c r="K29">
        <v>10521</v>
      </c>
    </row>
    <row r="30" spans="1:11" s="3" customFormat="1" x14ac:dyDescent="0.25">
      <c r="A30" s="3" t="s">
        <v>9</v>
      </c>
      <c r="B30">
        <v>14353</v>
      </c>
      <c r="C30">
        <v>16029</v>
      </c>
      <c r="D30">
        <v>15404</v>
      </c>
      <c r="E30">
        <v>16594</v>
      </c>
      <c r="F30">
        <v>19351</v>
      </c>
      <c r="G30">
        <v>22110</v>
      </c>
      <c r="H30">
        <v>24095</v>
      </c>
      <c r="I30">
        <v>26233</v>
      </c>
      <c r="J30">
        <v>26713</v>
      </c>
      <c r="K30">
        <v>29440</v>
      </c>
    </row>
    <row r="31" spans="1:11" s="3" customFormat="1" x14ac:dyDescent="0.25">
      <c r="A31" s="3" t="s">
        <v>34</v>
      </c>
      <c r="B31">
        <v>5891.6</v>
      </c>
      <c r="C31">
        <v>9465.6</v>
      </c>
      <c r="D31">
        <v>9222.5</v>
      </c>
      <c r="E31">
        <v>7427</v>
      </c>
      <c r="F31">
        <v>11469.6</v>
      </c>
      <c r="G31">
        <v>13007.6</v>
      </c>
      <c r="H31">
        <v>14069.2</v>
      </c>
      <c r="I31">
        <v>19053.2</v>
      </c>
      <c r="J31">
        <v>17827.8</v>
      </c>
      <c r="K31">
        <v>19430.400000000001</v>
      </c>
    </row>
    <row r="32" spans="1:11" s="3" customFormat="1" x14ac:dyDescent="0.25"/>
    <row r="33" spans="1:11" x14ac:dyDescent="0.25">
      <c r="A33" s="3"/>
    </row>
    <row r="34" spans="1:11" x14ac:dyDescent="0.25">
      <c r="A34" s="3"/>
    </row>
    <row r="35" spans="1:11" x14ac:dyDescent="0.25">
      <c r="A35" s="3"/>
    </row>
    <row r="36" spans="1:11" x14ac:dyDescent="0.25">
      <c r="A36" s="3"/>
    </row>
    <row r="37" spans="1:11" x14ac:dyDescent="0.25">
      <c r="A37" s="3"/>
    </row>
    <row r="38" spans="1:11" x14ac:dyDescent="0.25">
      <c r="A38" s="3"/>
    </row>
    <row r="39" spans="1:11" x14ac:dyDescent="0.25">
      <c r="A39" s="3"/>
    </row>
    <row r="40" spans="1:11" x14ac:dyDescent="0.25">
      <c r="A40" s="1" t="s">
        <v>24</v>
      </c>
    </row>
    <row r="41" spans="1:11" s="6" customFormat="1" x14ac:dyDescent="0.25">
      <c r="A41" s="5" t="s">
        <v>23</v>
      </c>
      <c r="B41" s="4">
        <v>45382</v>
      </c>
      <c r="C41" s="4">
        <v>45473</v>
      </c>
      <c r="D41" s="4">
        <v>45565</v>
      </c>
      <c r="E41" s="4">
        <v>45657</v>
      </c>
      <c r="F41" s="4">
        <v>45747</v>
      </c>
      <c r="G41" s="4">
        <v>45838</v>
      </c>
      <c r="H41" s="4">
        <v>45930</v>
      </c>
      <c r="I41" s="4">
        <v>46022</v>
      </c>
      <c r="J41" s="4">
        <v>46112</v>
      </c>
      <c r="K41" s="4">
        <v>46203</v>
      </c>
    </row>
    <row r="42" spans="1:11" s="3" customFormat="1" x14ac:dyDescent="0.25">
      <c r="A42" s="3" t="s">
        <v>1</v>
      </c>
      <c r="B42">
        <v>37923</v>
      </c>
      <c r="C42">
        <v>39315</v>
      </c>
      <c r="D42">
        <v>40986</v>
      </c>
      <c r="E42">
        <v>41764</v>
      </c>
      <c r="F42">
        <v>40925</v>
      </c>
      <c r="G42">
        <v>42279</v>
      </c>
      <c r="H42">
        <v>44490</v>
      </c>
      <c r="I42">
        <v>45479</v>
      </c>
      <c r="J42">
        <v>46402</v>
      </c>
      <c r="K42">
        <v>48211</v>
      </c>
    </row>
    <row r="43" spans="1:11" s="3" customFormat="1" x14ac:dyDescent="0.25">
      <c r="A43" s="3" t="s">
        <v>2</v>
      </c>
      <c r="B43">
        <v>29139</v>
      </c>
      <c r="C43">
        <v>29878</v>
      </c>
      <c r="D43">
        <v>31177</v>
      </c>
      <c r="E43">
        <v>31649</v>
      </c>
      <c r="F43">
        <v>31051</v>
      </c>
      <c r="G43">
        <v>32336</v>
      </c>
      <c r="H43">
        <v>33955</v>
      </c>
      <c r="I43">
        <v>34845</v>
      </c>
      <c r="J43">
        <v>35235</v>
      </c>
      <c r="K43">
        <v>36802</v>
      </c>
    </row>
    <row r="44" spans="1:11" s="3" customFormat="1" x14ac:dyDescent="0.25">
      <c r="A44" s="3" t="s">
        <v>4</v>
      </c>
      <c r="B44">
        <v>2729</v>
      </c>
      <c r="C44">
        <v>838</v>
      </c>
      <c r="D44">
        <v>712</v>
      </c>
      <c r="E44">
        <v>859</v>
      </c>
      <c r="F44">
        <v>1190</v>
      </c>
      <c r="G44">
        <v>1042</v>
      </c>
      <c r="H44">
        <v>982</v>
      </c>
      <c r="I44">
        <v>-150</v>
      </c>
      <c r="J44">
        <v>1159</v>
      </c>
      <c r="K44">
        <v>984</v>
      </c>
    </row>
    <row r="45" spans="1:11" s="3" customFormat="1" x14ac:dyDescent="0.25">
      <c r="A45" s="3" t="s">
        <v>5</v>
      </c>
      <c r="B45">
        <v>1163</v>
      </c>
      <c r="C45">
        <v>1149</v>
      </c>
      <c r="D45">
        <v>1160</v>
      </c>
      <c r="E45">
        <v>1203</v>
      </c>
      <c r="F45">
        <v>1299</v>
      </c>
      <c r="G45">
        <v>1140</v>
      </c>
      <c r="H45">
        <v>1182</v>
      </c>
      <c r="I45">
        <v>1155</v>
      </c>
      <c r="J45">
        <v>1424</v>
      </c>
      <c r="K45">
        <v>1246</v>
      </c>
    </row>
    <row r="46" spans="1:11" s="3" customFormat="1" x14ac:dyDescent="0.25">
      <c r="A46" s="3" t="s">
        <v>6</v>
      </c>
      <c r="B46">
        <v>110</v>
      </c>
      <c r="C46">
        <v>105</v>
      </c>
      <c r="D46">
        <v>108</v>
      </c>
      <c r="E46">
        <v>101</v>
      </c>
      <c r="F46">
        <v>102</v>
      </c>
      <c r="G46">
        <v>105</v>
      </c>
      <c r="H46">
        <v>106</v>
      </c>
      <c r="I46">
        <v>100</v>
      </c>
      <c r="J46">
        <v>105</v>
      </c>
      <c r="K46">
        <v>119</v>
      </c>
    </row>
    <row r="47" spans="1:11" s="3" customFormat="1" x14ac:dyDescent="0.25">
      <c r="A47" s="3" t="s">
        <v>7</v>
      </c>
      <c r="B47">
        <v>10240</v>
      </c>
      <c r="C47">
        <v>9021</v>
      </c>
      <c r="D47">
        <v>9253</v>
      </c>
      <c r="E47">
        <v>9670</v>
      </c>
      <c r="F47">
        <v>9663</v>
      </c>
      <c r="G47">
        <v>9740</v>
      </c>
      <c r="H47">
        <v>10229</v>
      </c>
      <c r="I47">
        <v>9229</v>
      </c>
      <c r="J47">
        <v>10797</v>
      </c>
      <c r="K47">
        <v>11028</v>
      </c>
    </row>
    <row r="48" spans="1:11" s="3" customFormat="1" x14ac:dyDescent="0.25">
      <c r="A48" s="3" t="s">
        <v>8</v>
      </c>
      <c r="B48">
        <v>2265</v>
      </c>
      <c r="C48">
        <v>2647</v>
      </c>
      <c r="D48">
        <v>2737</v>
      </c>
      <c r="E48">
        <v>2848</v>
      </c>
      <c r="F48">
        <v>2625</v>
      </c>
      <c r="G48">
        <v>2816</v>
      </c>
      <c r="H48">
        <v>2854</v>
      </c>
      <c r="I48">
        <v>2563</v>
      </c>
      <c r="J48">
        <v>2288</v>
      </c>
      <c r="K48">
        <v>3253</v>
      </c>
    </row>
    <row r="49" spans="1:11" s="3" customFormat="1" x14ac:dyDescent="0.25">
      <c r="A49" s="3" t="s">
        <v>9</v>
      </c>
      <c r="B49">
        <v>7969</v>
      </c>
      <c r="C49">
        <v>6368</v>
      </c>
      <c r="D49">
        <v>6506</v>
      </c>
      <c r="E49">
        <v>6806</v>
      </c>
      <c r="F49">
        <v>7033</v>
      </c>
      <c r="G49">
        <v>6921</v>
      </c>
      <c r="H49">
        <v>7364</v>
      </c>
      <c r="I49">
        <v>6654</v>
      </c>
      <c r="J49">
        <v>8501</v>
      </c>
      <c r="K49">
        <v>7769</v>
      </c>
    </row>
    <row r="50" spans="1:11" x14ac:dyDescent="0.25">
      <c r="A50" s="3" t="s">
        <v>3</v>
      </c>
      <c r="B50">
        <v>8784</v>
      </c>
      <c r="C50">
        <v>9437</v>
      </c>
      <c r="D50">
        <v>9809</v>
      </c>
      <c r="E50">
        <v>10115</v>
      </c>
      <c r="F50">
        <v>9874</v>
      </c>
      <c r="G50">
        <v>9943</v>
      </c>
      <c r="H50">
        <v>10535</v>
      </c>
      <c r="I50">
        <v>10634</v>
      </c>
      <c r="J50">
        <v>11167</v>
      </c>
      <c r="K50">
        <v>11409</v>
      </c>
    </row>
    <row r="51" spans="1:11" x14ac:dyDescent="0.25">
      <c r="A51" s="3"/>
    </row>
    <row r="52" spans="1:11" x14ac:dyDescent="0.25">
      <c r="A52" s="3"/>
    </row>
    <row r="53" spans="1:11" x14ac:dyDescent="0.25">
      <c r="A53" s="3"/>
    </row>
    <row r="54" spans="1:11" x14ac:dyDescent="0.25">
      <c r="A54" s="3"/>
    </row>
    <row r="55" spans="1:11" x14ac:dyDescent="0.25">
      <c r="A55" s="1" t="s">
        <v>25</v>
      </c>
    </row>
    <row r="56" spans="1:11" s="6" customFormat="1" x14ac:dyDescent="0.25">
      <c r="A56" s="5" t="s">
        <v>23</v>
      </c>
      <c r="B56" s="4">
        <v>42825</v>
      </c>
      <c r="C56" s="4">
        <v>43190</v>
      </c>
      <c r="D56" s="4">
        <v>43555</v>
      </c>
      <c r="E56" s="4">
        <v>43921</v>
      </c>
      <c r="F56" s="4">
        <v>44286</v>
      </c>
      <c r="G56" s="4">
        <v>44651</v>
      </c>
      <c r="H56" s="4">
        <v>45016</v>
      </c>
      <c r="I56" s="4">
        <v>45382</v>
      </c>
      <c r="J56" s="4">
        <v>45747</v>
      </c>
      <c r="K56" s="4">
        <v>46112</v>
      </c>
    </row>
    <row r="57" spans="1:11" x14ac:dyDescent="0.25">
      <c r="A57" s="3" t="s">
        <v>10</v>
      </c>
      <c r="B57">
        <v>1144</v>
      </c>
      <c r="C57">
        <v>1088</v>
      </c>
      <c r="D57">
        <v>2170</v>
      </c>
      <c r="E57">
        <v>2122</v>
      </c>
      <c r="F57">
        <v>2124</v>
      </c>
      <c r="G57">
        <v>2098</v>
      </c>
      <c r="H57">
        <v>2069</v>
      </c>
      <c r="I57">
        <v>2071</v>
      </c>
      <c r="J57">
        <v>2073</v>
      </c>
      <c r="K57">
        <v>2024</v>
      </c>
    </row>
    <row r="58" spans="1:11" x14ac:dyDescent="0.25">
      <c r="A58" s="3" t="s">
        <v>11</v>
      </c>
      <c r="B58">
        <v>67838</v>
      </c>
      <c r="C58">
        <v>63835</v>
      </c>
      <c r="D58">
        <v>62778</v>
      </c>
      <c r="E58">
        <v>63328</v>
      </c>
      <c r="F58">
        <v>74227</v>
      </c>
      <c r="G58">
        <v>73252</v>
      </c>
      <c r="H58">
        <v>73338</v>
      </c>
      <c r="I58">
        <v>86045</v>
      </c>
      <c r="J58">
        <v>93745</v>
      </c>
      <c r="K58">
        <v>90828</v>
      </c>
    </row>
    <row r="59" spans="1:11" x14ac:dyDescent="0.25">
      <c r="A59" s="3" t="s">
        <v>35</v>
      </c>
      <c r="B59"/>
      <c r="C59"/>
      <c r="D59"/>
      <c r="E59">
        <v>4633</v>
      </c>
      <c r="F59">
        <v>5325</v>
      </c>
      <c r="G59">
        <v>5474</v>
      </c>
      <c r="H59">
        <v>8299</v>
      </c>
      <c r="I59">
        <v>8359</v>
      </c>
      <c r="J59">
        <v>8227</v>
      </c>
      <c r="K59">
        <v>9176</v>
      </c>
    </row>
    <row r="60" spans="1:11" x14ac:dyDescent="0.25">
      <c r="A60" s="3" t="s">
        <v>36</v>
      </c>
      <c r="B60">
        <v>14166</v>
      </c>
      <c r="C60">
        <v>14426</v>
      </c>
      <c r="D60">
        <v>19118</v>
      </c>
      <c r="E60">
        <v>21717</v>
      </c>
      <c r="F60">
        <v>25835</v>
      </c>
      <c r="G60">
        <v>35905</v>
      </c>
      <c r="H60">
        <v>40890</v>
      </c>
      <c r="I60">
        <v>39545</v>
      </c>
      <c r="J60">
        <v>43750</v>
      </c>
      <c r="K60">
        <v>52260</v>
      </c>
    </row>
    <row r="61" spans="1:11" s="1" customFormat="1" x14ac:dyDescent="0.25">
      <c r="A61" s="1" t="s">
        <v>12</v>
      </c>
      <c r="B61">
        <v>83148</v>
      </c>
      <c r="C61">
        <v>79349</v>
      </c>
      <c r="D61">
        <v>84066</v>
      </c>
      <c r="E61">
        <v>91800</v>
      </c>
      <c r="F61">
        <v>107511</v>
      </c>
      <c r="G61">
        <v>116729</v>
      </c>
      <c r="H61">
        <v>124596</v>
      </c>
      <c r="I61">
        <v>136020</v>
      </c>
      <c r="J61">
        <v>147795</v>
      </c>
      <c r="K61">
        <v>154288</v>
      </c>
    </row>
    <row r="62" spans="1:11" x14ac:dyDescent="0.25">
      <c r="A62" s="3" t="s">
        <v>13</v>
      </c>
      <c r="B62">
        <v>14179</v>
      </c>
      <c r="C62">
        <v>12574</v>
      </c>
      <c r="D62">
        <v>15710</v>
      </c>
      <c r="E62">
        <v>23789</v>
      </c>
      <c r="F62">
        <v>25505</v>
      </c>
      <c r="G62">
        <v>25800</v>
      </c>
      <c r="H62">
        <v>29225</v>
      </c>
      <c r="I62">
        <v>27622</v>
      </c>
      <c r="J62">
        <v>30961</v>
      </c>
      <c r="K62">
        <v>33770</v>
      </c>
    </row>
    <row r="63" spans="1:11" x14ac:dyDescent="0.25">
      <c r="A63" s="3" t="s">
        <v>14</v>
      </c>
      <c r="B63">
        <v>1365</v>
      </c>
      <c r="C63">
        <v>1606</v>
      </c>
      <c r="D63">
        <v>1388</v>
      </c>
      <c r="E63">
        <v>954</v>
      </c>
      <c r="F63">
        <v>922</v>
      </c>
      <c r="G63">
        <v>416</v>
      </c>
      <c r="H63">
        <v>288</v>
      </c>
      <c r="I63">
        <v>293</v>
      </c>
      <c r="J63">
        <v>814</v>
      </c>
      <c r="K63">
        <v>526</v>
      </c>
    </row>
    <row r="64" spans="1:11" x14ac:dyDescent="0.25">
      <c r="A64" s="3" t="s">
        <v>15</v>
      </c>
      <c r="B64">
        <v>16423</v>
      </c>
      <c r="C64">
        <v>12163</v>
      </c>
      <c r="D64">
        <v>11261</v>
      </c>
      <c r="E64">
        <v>8792</v>
      </c>
      <c r="F64">
        <v>14205</v>
      </c>
      <c r="G64">
        <v>20324</v>
      </c>
      <c r="H64">
        <v>19478</v>
      </c>
      <c r="I64">
        <v>24623</v>
      </c>
      <c r="J64">
        <v>23541</v>
      </c>
      <c r="K64">
        <v>21880</v>
      </c>
    </row>
    <row r="65" spans="1:11" x14ac:dyDescent="0.25">
      <c r="A65" s="3" t="s">
        <v>37</v>
      </c>
      <c r="B65">
        <v>51181</v>
      </c>
      <c r="C65">
        <v>53006</v>
      </c>
      <c r="D65">
        <v>55707</v>
      </c>
      <c r="E65">
        <v>58265</v>
      </c>
      <c r="F65">
        <v>66879</v>
      </c>
      <c r="G65">
        <v>70189</v>
      </c>
      <c r="H65">
        <v>75605</v>
      </c>
      <c r="I65">
        <v>83482</v>
      </c>
      <c r="J65">
        <v>92479</v>
      </c>
      <c r="K65">
        <v>98112</v>
      </c>
    </row>
    <row r="66" spans="1:11" s="1" customFormat="1" x14ac:dyDescent="0.25">
      <c r="A66" s="1" t="s">
        <v>12</v>
      </c>
      <c r="B66">
        <v>83148</v>
      </c>
      <c r="C66">
        <v>79349</v>
      </c>
      <c r="D66">
        <v>84066</v>
      </c>
      <c r="E66">
        <v>91800</v>
      </c>
      <c r="F66">
        <v>107511</v>
      </c>
      <c r="G66">
        <v>116729</v>
      </c>
      <c r="H66">
        <v>124596</v>
      </c>
      <c r="I66">
        <v>136020</v>
      </c>
      <c r="J66">
        <v>147795</v>
      </c>
      <c r="K66">
        <v>154288</v>
      </c>
    </row>
    <row r="67" spans="1:11" s="3" customFormat="1" x14ac:dyDescent="0.25">
      <c r="A67" s="3" t="s">
        <v>42</v>
      </c>
      <c r="B67">
        <v>12322</v>
      </c>
      <c r="C67">
        <v>13142</v>
      </c>
      <c r="D67">
        <v>14827</v>
      </c>
      <c r="E67">
        <v>18487</v>
      </c>
      <c r="F67">
        <v>19294</v>
      </c>
      <c r="G67">
        <v>22698</v>
      </c>
      <c r="H67">
        <v>25424</v>
      </c>
      <c r="I67">
        <v>30193</v>
      </c>
      <c r="J67">
        <v>31158</v>
      </c>
      <c r="K67">
        <v>35234</v>
      </c>
    </row>
    <row r="68" spans="1:11" x14ac:dyDescent="0.25">
      <c r="A68" s="3" t="s">
        <v>29</v>
      </c>
      <c r="B68"/>
      <c r="C68"/>
      <c r="D68"/>
      <c r="E68"/>
      <c r="F68"/>
      <c r="G68"/>
      <c r="H68"/>
      <c r="I68"/>
      <c r="J68"/>
      <c r="K68"/>
    </row>
    <row r="69" spans="1:11" x14ac:dyDescent="0.25">
      <c r="A69" s="2" t="s">
        <v>51</v>
      </c>
      <c r="B69">
        <v>22625</v>
      </c>
      <c r="C69">
        <v>19818</v>
      </c>
      <c r="D69">
        <v>19568</v>
      </c>
      <c r="E69">
        <v>18649</v>
      </c>
      <c r="F69">
        <v>24714</v>
      </c>
      <c r="G69">
        <v>17472</v>
      </c>
      <c r="H69">
        <v>12173</v>
      </c>
      <c r="I69">
        <v>14786</v>
      </c>
      <c r="J69">
        <v>24455</v>
      </c>
      <c r="K69">
        <v>22201</v>
      </c>
    </row>
    <row r="70" spans="1:11" x14ac:dyDescent="0.25">
      <c r="A70" s="2" t="s">
        <v>38</v>
      </c>
      <c r="B70">
        <v>2285655150</v>
      </c>
      <c r="C70">
        <v>2173312301</v>
      </c>
      <c r="D70">
        <v>4335954462</v>
      </c>
      <c r="E70">
        <v>4240753210</v>
      </c>
      <c r="F70">
        <v>4245146114</v>
      </c>
      <c r="G70">
        <v>4193012929</v>
      </c>
      <c r="H70">
        <v>4136387925</v>
      </c>
      <c r="I70">
        <v>4139950635</v>
      </c>
      <c r="J70">
        <v>4143607528</v>
      </c>
      <c r="K70">
        <v>4046940812</v>
      </c>
    </row>
    <row r="71" spans="1:11" x14ac:dyDescent="0.25">
      <c r="A71" s="2" t="s">
        <v>39</v>
      </c>
      <c r="D71">
        <v>2184191490</v>
      </c>
    </row>
    <row r="72" spans="1:11" x14ac:dyDescent="0.25">
      <c r="A72" s="2" t="s">
        <v>52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25">
      <c r="A74" s="3"/>
    </row>
    <row r="75" spans="1:11" x14ac:dyDescent="0.25">
      <c r="A75" s="3"/>
    </row>
    <row r="76" spans="1:11" x14ac:dyDescent="0.25">
      <c r="A76" s="3"/>
    </row>
    <row r="77" spans="1:11" x14ac:dyDescent="0.25">
      <c r="A77" s="3"/>
    </row>
    <row r="78" spans="1:11" x14ac:dyDescent="0.25">
      <c r="A78" s="3"/>
    </row>
    <row r="79" spans="1:11" x14ac:dyDescent="0.25">
      <c r="A79" s="3"/>
    </row>
    <row r="80" spans="1:11" x14ac:dyDescent="0.25">
      <c r="A80" s="1" t="s">
        <v>26</v>
      </c>
    </row>
    <row r="81" spans="1:11" s="6" customFormat="1" x14ac:dyDescent="0.25">
      <c r="A81" s="5" t="s">
        <v>23</v>
      </c>
      <c r="B81" s="4">
        <v>42825</v>
      </c>
      <c r="C81" s="4">
        <v>43190</v>
      </c>
      <c r="D81" s="4">
        <v>43555</v>
      </c>
      <c r="E81" s="4">
        <v>43921</v>
      </c>
      <c r="F81" s="4">
        <v>44286</v>
      </c>
      <c r="G81" s="4">
        <v>44651</v>
      </c>
      <c r="H81" s="4">
        <v>45016</v>
      </c>
      <c r="I81" s="4">
        <v>45382</v>
      </c>
      <c r="J81" s="4">
        <v>45747</v>
      </c>
      <c r="K81" s="4">
        <v>46112</v>
      </c>
    </row>
    <row r="82" spans="1:11" s="1" customFormat="1" x14ac:dyDescent="0.25">
      <c r="A82" s="3" t="s">
        <v>17</v>
      </c>
      <c r="B82">
        <v>11531</v>
      </c>
      <c r="C82">
        <v>13218</v>
      </c>
      <c r="D82">
        <v>14841</v>
      </c>
      <c r="E82">
        <v>17003</v>
      </c>
      <c r="F82">
        <v>23224</v>
      </c>
      <c r="G82">
        <v>23885</v>
      </c>
      <c r="H82">
        <v>22467</v>
      </c>
      <c r="I82">
        <v>25210</v>
      </c>
      <c r="J82">
        <v>35694</v>
      </c>
      <c r="K82">
        <v>33986</v>
      </c>
    </row>
    <row r="83" spans="1:11" s="3" customFormat="1" x14ac:dyDescent="0.25">
      <c r="A83" s="3" t="s">
        <v>18</v>
      </c>
      <c r="B83">
        <v>-14664</v>
      </c>
      <c r="C83">
        <v>4533</v>
      </c>
      <c r="D83">
        <v>-632</v>
      </c>
      <c r="E83">
        <v>-331</v>
      </c>
      <c r="F83">
        <v>-7373</v>
      </c>
      <c r="G83">
        <v>-6485</v>
      </c>
      <c r="H83">
        <v>-1071</v>
      </c>
      <c r="I83">
        <v>-5093</v>
      </c>
      <c r="J83">
        <v>-1864</v>
      </c>
      <c r="K83">
        <v>3546</v>
      </c>
    </row>
    <row r="84" spans="1:11" s="3" customFormat="1" x14ac:dyDescent="0.25">
      <c r="A84" s="3" t="s">
        <v>19</v>
      </c>
      <c r="B84">
        <v>-6939</v>
      </c>
      <c r="C84">
        <v>-20505</v>
      </c>
      <c r="D84">
        <v>-14512</v>
      </c>
      <c r="E84">
        <v>-17591</v>
      </c>
      <c r="F84">
        <v>-9786</v>
      </c>
      <c r="G84">
        <v>-24642</v>
      </c>
      <c r="H84">
        <v>-26695</v>
      </c>
      <c r="I84">
        <v>-17504</v>
      </c>
      <c r="J84">
        <v>-24161</v>
      </c>
      <c r="K84">
        <v>-39786</v>
      </c>
    </row>
    <row r="85" spans="1:11" s="1" customFormat="1" x14ac:dyDescent="0.25">
      <c r="A85" s="3" t="s">
        <v>20</v>
      </c>
      <c r="B85">
        <v>-10072</v>
      </c>
      <c r="C85">
        <v>-2754</v>
      </c>
      <c r="D85">
        <v>-303</v>
      </c>
      <c r="E85">
        <v>-919</v>
      </c>
      <c r="F85">
        <v>6065</v>
      </c>
      <c r="G85">
        <v>-7242</v>
      </c>
      <c r="H85">
        <v>-5299</v>
      </c>
      <c r="I85">
        <v>2613</v>
      </c>
      <c r="J85">
        <v>9669</v>
      </c>
      <c r="K85">
        <v>-2254</v>
      </c>
    </row>
    <row r="86" spans="1:11" x14ac:dyDescent="0.25">
      <c r="A86" s="3"/>
    </row>
    <row r="87" spans="1:11" x14ac:dyDescent="0.25">
      <c r="A87" s="3"/>
    </row>
    <row r="88" spans="1:11" x14ac:dyDescent="0.25">
      <c r="A88" s="3"/>
    </row>
    <row r="89" spans="1:11" x14ac:dyDescent="0.25">
      <c r="A89" s="3"/>
    </row>
    <row r="90" spans="1:11" s="1" customFormat="1" x14ac:dyDescent="0.25">
      <c r="A90" s="1" t="s">
        <v>41</v>
      </c>
      <c r="B90">
        <v>511.13</v>
      </c>
      <c r="C90">
        <v>565.9</v>
      </c>
      <c r="D90">
        <v>743.85</v>
      </c>
      <c r="E90">
        <v>641.5</v>
      </c>
      <c r="F90">
        <v>1368.05</v>
      </c>
      <c r="G90">
        <v>1906.85</v>
      </c>
      <c r="H90">
        <v>1427.95</v>
      </c>
      <c r="I90">
        <v>1498.05</v>
      </c>
      <c r="J90">
        <v>1570.65</v>
      </c>
      <c r="K90">
        <v>1250.5999999999999</v>
      </c>
    </row>
    <row r="92" spans="1:11" s="1" customFormat="1" x14ac:dyDescent="0.25">
      <c r="A92" s="1" t="s">
        <v>40</v>
      </c>
    </row>
    <row r="93" spans="1:11" x14ac:dyDescent="0.25">
      <c r="A93" s="2" t="s">
        <v>53</v>
      </c>
      <c r="B93" s="7">
        <v>459.39</v>
      </c>
      <c r="C93" s="7">
        <v>436.82</v>
      </c>
      <c r="D93" s="7">
        <v>436.89</v>
      </c>
      <c r="E93" s="7">
        <v>425.9</v>
      </c>
      <c r="F93" s="7">
        <v>426.07</v>
      </c>
      <c r="G93" s="7">
        <v>420.67</v>
      </c>
      <c r="H93" s="7">
        <v>414.86</v>
      </c>
      <c r="I93" s="7">
        <v>415.09</v>
      </c>
      <c r="J93" s="7">
        <v>415.33</v>
      </c>
      <c r="K93" s="7">
        <v>405.56</v>
      </c>
    </row>
  </sheetData>
  <sheetProtection sheet="1" objects="1" scenarios="1"/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DBF179-43AC-4200-8AD8-41B708DD62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 Model&gt;</vt:lpstr>
      <vt:lpstr>3 Statement Model</vt:lpstr>
      <vt:lpstr>Relative Valuation</vt:lpstr>
      <vt:lpstr>DCF Valuation Model</vt:lpstr>
      <vt:lpstr>WACC</vt:lpstr>
      <vt:lpstr>Football Field Anaylsis</vt:lpstr>
      <vt:lpstr>Financials&gt;</vt:lpstr>
      <vt:lpstr>Common Size Statement</vt:lpstr>
      <vt:lpstr>Ratio analysis</vt:lpstr>
      <vt:lpstr>Data Room&gt;</vt:lpstr>
      <vt:lpstr>Historical FS</vt:lpstr>
      <vt:lpstr>Data Sheet</vt:lpstr>
      <vt:lpstr>'Relative Valuation'!Print_Area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priyanshu jangra</cp:lastModifiedBy>
  <cp:lastPrinted>2026-08-08T13:18:24Z</cp:lastPrinted>
  <dcterms:created xsi:type="dcterms:W3CDTF">2012-08-17T09:55:37Z</dcterms:created>
  <dcterms:modified xsi:type="dcterms:W3CDTF">2026-08-19T09:46:21Z</dcterms:modified>
</cp:coreProperties>
</file>